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Volume_Model" sheetId="2" state="visible" r:id="rId2"/>
    <sheet xmlns:r="http://schemas.openxmlformats.org/officeDocument/2006/relationships" name="Token_Economics" sheetId="3" state="visible" r:id="rId3"/>
    <sheet xmlns:r="http://schemas.openxmlformats.org/officeDocument/2006/relationships" name="Human_Comparison" sheetId="4" state="visible" r:id="rId4"/>
    <sheet xmlns:r="http://schemas.openxmlformats.org/officeDocument/2006/relationships" name="Retention_RO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₹#,##0"/>
    <numFmt numFmtId="166" formatCode="$#,##0.000000"/>
    <numFmt numFmtId="167" formatCode="₹#,##0.00"/>
    <numFmt numFmtId="168" formatCode="0.0&quot;x&quot;"/>
  </numFmts>
  <fonts count="6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3" fontId="5" fillId="0" borderId="1" applyAlignment="1" pivotButton="0" quotePrefix="0" xfId="0">
      <alignment horizontal="right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3" borderId="1" pivotButton="0" quotePrefix="0" xfId="0"/>
    <xf numFmtId="165" fontId="5" fillId="3" borderId="1" applyAlignment="1" pivotButton="0" quotePrefix="0" xfId="0">
      <alignment horizontal="right"/>
    </xf>
    <xf numFmtId="0" fontId="5" fillId="3" borderId="1" pivotButton="0" quotePrefix="0" xfId="0"/>
    <xf numFmtId="0" fontId="5" fillId="0" borderId="1" applyAlignment="1" pivotButton="0" quotePrefix="0" xfId="0">
      <alignment horizontal="right"/>
    </xf>
    <xf numFmtId="0" fontId="3" fillId="2" borderId="0" pivotButton="0" quotePrefix="0" xfId="0"/>
    <xf numFmtId="3" fontId="4" fillId="0" borderId="1" pivotButton="0" quotePrefix="0" xfId="0"/>
    <xf numFmtId="0" fontId="2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4" fillId="4" borderId="0" pivotButton="0" quotePrefix="0" xfId="0"/>
    <xf numFmtId="0" fontId="5" fillId="4" borderId="0" pivotButton="0" quotePrefix="0" xfId="0"/>
    <xf numFmtId="0" fontId="2" fillId="4" borderId="0" pivotButton="0" quotePrefix="0" xfId="0"/>
    <xf numFmtId="165" fontId="4" fillId="3" borderId="1" pivotButton="0" quotePrefix="0" xfId="0"/>
    <xf numFmtId="0" fontId="2" fillId="3" borderId="1" pivotButton="0" quotePrefix="0" xfId="0"/>
    <xf numFmtId="168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5" customWidth="1" min="2" max="2"/>
    <col width="25" customWidth="1" min="3" max="3"/>
    <col width="20" customWidth="1" min="4" max="4"/>
    <col width="42" customWidth="1" min="5" max="5"/>
  </cols>
  <sheetData>
    <row r="1">
      <c r="A1" s="1" t="inlineStr">
        <is>
          <t>Cheerio AI — Customer Support Scaling (Assignment A)</t>
        </is>
      </c>
    </row>
    <row r="2">
      <c r="A2" s="2" t="inlineStr">
        <is>
          <t>Financial Model &amp; Unit Economics • Candidate: Saksham Gupta (saksham77779@gmail.com)</t>
        </is>
      </c>
    </row>
    <row r="3"/>
    <row r="4">
      <c r="A4" s="3" t="inlineStr">
        <is>
          <t>Key Metric</t>
        </is>
      </c>
      <c r="B4" s="4" t="inlineStr">
        <is>
          <t>Baseline (Human Only)</t>
        </is>
      </c>
      <c r="C4" s="4" t="inlineStr">
        <is>
          <t>With Cheerio Co-Pilot</t>
        </is>
      </c>
      <c r="D4" s="4" t="inlineStr">
        <is>
          <t>Delta / Impact</t>
        </is>
      </c>
      <c r="E4" s="4" t="inlineStr">
        <is>
          <t>Formula / Source</t>
        </is>
      </c>
    </row>
    <row r="5">
      <c r="A5" s="5" t="inlineStr">
        <is>
          <t>Active Merchant Base</t>
        </is>
      </c>
      <c r="B5" s="6" t="n">
        <v>5000</v>
      </c>
      <c r="C5" s="6" t="n">
        <v>5000</v>
      </c>
      <c r="D5" s="5" t="inlineStr">
        <is>
          <t>0</t>
        </is>
      </c>
      <c r="E5" s="7" t="inlineStr">
        <is>
          <t>Assignment Brief specification</t>
        </is>
      </c>
    </row>
    <row r="6">
      <c r="A6" s="5" t="inlineStr">
        <is>
          <t>Monthly Support Queries</t>
        </is>
      </c>
      <c r="B6" s="6" t="n">
        <v>17500</v>
      </c>
      <c r="C6" s="6" t="n">
        <v>17500</v>
      </c>
      <c r="D6" s="5" t="inlineStr">
        <is>
          <t>0</t>
        </is>
      </c>
      <c r="E6" s="7" t="inlineStr">
        <is>
          <t>Volume_Model!B6</t>
        </is>
      </c>
    </row>
    <row r="7">
      <c r="A7" s="5" t="inlineStr">
        <is>
          <t>Autonomous Ticket Deflection Rate</t>
        </is>
      </c>
      <c r="B7" s="8" t="n">
        <v>0.12</v>
      </c>
      <c r="C7" s="8" t="n">
        <v>0.65</v>
      </c>
      <c r="D7" s="5" t="inlineStr">
        <is>
          <t>+53.0%</t>
        </is>
      </c>
      <c r="E7" s="7" t="inlineStr">
        <is>
          <t>Target deflection across 5 bottlenecks</t>
        </is>
      </c>
    </row>
    <row r="8">
      <c r="A8" s="5" t="inlineStr">
        <is>
          <t>Human Support Headcount Needed</t>
        </is>
      </c>
      <c r="B8" s="6" t="n">
        <v>20</v>
      </c>
      <c r="C8" s="9" t="n">
        <v>7</v>
      </c>
      <c r="D8" s="5" t="inlineStr">
        <is>
          <t>-13 Agents</t>
        </is>
      </c>
      <c r="E8" s="7" t="inlineStr">
        <is>
          <t>Human_Comparison!B11 vs B16</t>
        </is>
      </c>
    </row>
    <row r="9">
      <c r="A9" s="5" t="inlineStr">
        <is>
          <t>Total Monthly Support Cost (₹)</t>
        </is>
      </c>
      <c r="B9" s="10" t="n">
        <v>700000</v>
      </c>
      <c r="C9" s="10" t="n">
        <v>248500</v>
      </c>
      <c r="D9" s="5" t="inlineStr">
        <is>
          <t>-₹4,51,500</t>
        </is>
      </c>
      <c r="E9" s="7" t="inlineStr">
        <is>
          <t>Human_Comparison!B12 vs B19</t>
        </is>
      </c>
    </row>
    <row r="10">
      <c r="A10" s="5" t="inlineStr">
        <is>
          <t>Cost per Resolved Ticket (₹)</t>
        </is>
      </c>
      <c r="B10" s="10" t="n">
        <v>40</v>
      </c>
      <c r="C10" s="10" t="n">
        <v>14.2</v>
      </c>
      <c r="D10" s="5" t="inlineStr">
        <is>
          <t>-₹25.80 (-64.5%)</t>
        </is>
      </c>
      <c r="E10" s="7" t="inlineStr">
        <is>
          <t>Human_Comparison!B13 vs B20</t>
        </is>
      </c>
    </row>
    <row r="11">
      <c r="A11" s="5" t="inlineStr">
        <is>
          <t>Monthly AI Infrastructure Cost (₹)</t>
        </is>
      </c>
      <c r="B11" s="10" t="n">
        <v>0</v>
      </c>
      <c r="C11" s="10" t="n">
        <v>3500</v>
      </c>
      <c r="D11" s="5" t="inlineStr">
        <is>
          <t>+₹3,500</t>
        </is>
      </c>
      <c r="E11" s="7" t="inlineStr">
        <is>
          <t>Token_Economics!B16</t>
        </is>
      </c>
    </row>
    <row r="12">
      <c r="A12" s="5" t="inlineStr">
        <is>
          <t>AI Cost per Active Business / Month (₹)</t>
        </is>
      </c>
      <c r="B12" s="10" t="n">
        <v>0</v>
      </c>
      <c r="C12" s="10" t="n">
        <v>0.7</v>
      </c>
      <c r="D12" s="5" t="inlineStr">
        <is>
          <t>₹0.70 / mo</t>
        </is>
      </c>
      <c r="E12" s="7" t="inlineStr">
        <is>
          <t>Token_Economics!B17</t>
        </is>
      </c>
    </row>
    <row r="13">
      <c r="A13" s="11" t="inlineStr">
        <is>
          <t>Net Monthly Operational Savings (₹)</t>
        </is>
      </c>
      <c r="B13" s="12" t="n">
        <v>0</v>
      </c>
      <c r="C13" s="12" t="n">
        <v>451500</v>
      </c>
      <c r="D13" s="11" t="inlineStr">
        <is>
          <t>+₹4,51,500 / mo</t>
        </is>
      </c>
      <c r="E13" s="13" t="inlineStr">
        <is>
          <t>Human_Comparison!B21 (₹54.18L / yr)</t>
        </is>
      </c>
    </row>
    <row r="14">
      <c r="A14" s="5" t="inlineStr">
        <is>
          <t>Merchant Churn Reduction ROI</t>
        </is>
      </c>
      <c r="B14" s="14" t="inlineStr">
        <is>
          <t>-</t>
        </is>
      </c>
      <c r="C14" s="14" t="inlineStr">
        <is>
          <t>51.4x</t>
        </is>
      </c>
      <c r="D14" s="5" t="inlineStr">
        <is>
          <t>51.4x Return</t>
        </is>
      </c>
      <c r="E14" s="7" t="inlineStr">
        <is>
          <t>Retention_ROI!B12 (1.2% churn saved)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6" customWidth="1" min="3" max="3"/>
    <col width="68" customWidth="1" min="4" max="4"/>
  </cols>
  <sheetData>
    <row r="1">
      <c r="A1" s="1" t="inlineStr">
        <is>
          <t>Support Volume &amp; Resolution Breakdown</t>
        </is>
      </c>
    </row>
    <row r="2">
      <c r="A2" s="2" t="inlineStr">
        <is>
          <t>5,000 Active Businesses Guesstimate Model</t>
        </is>
      </c>
    </row>
    <row r="3"/>
    <row r="4">
      <c r="A4" s="15" t="inlineStr">
        <is>
          <t>Parameter</t>
        </is>
      </c>
      <c r="B4" s="15" t="inlineStr">
        <is>
          <t>Value</t>
        </is>
      </c>
      <c r="C4" s="15" t="inlineStr">
        <is>
          <t>Unit</t>
        </is>
      </c>
      <c r="D4" s="15" t="inlineStr">
        <is>
          <t>Notes / Rationale</t>
        </is>
      </c>
    </row>
    <row r="5">
      <c r="A5" s="7" t="inlineStr">
        <is>
          <t>Active Business Accounts</t>
        </is>
      </c>
      <c r="B5" s="16" t="n">
        <v>5000</v>
      </c>
      <c r="C5" s="7" t="inlineStr">
        <is>
          <t>Businesses</t>
        </is>
      </c>
      <c r="D5" s="17" t="inlineStr">
        <is>
          <t>Given in assignment brief</t>
        </is>
      </c>
    </row>
    <row r="6">
      <c r="A6" s="7" t="inlineStr">
        <is>
          <t>Monthly Support Query Rate per Business</t>
        </is>
      </c>
      <c r="B6" s="16" t="n">
        <v>3.5</v>
      </c>
      <c r="C6" s="7" t="inlineStr">
        <is>
          <t>Queries / mo</t>
        </is>
      </c>
      <c r="D6" s="17" t="inlineStr">
        <is>
          <t>Assumed: 5-7 queries for new onboarding, 1-2 for mature accounts</t>
        </is>
      </c>
    </row>
    <row r="7">
      <c r="A7" s="7" t="inlineStr">
        <is>
          <t>Total Monthly Inbound Queries</t>
        </is>
      </c>
      <c r="B7" s="16">
        <f>B5*B6</f>
        <v/>
      </c>
      <c r="C7" s="7" t="inlineStr">
        <is>
          <t>Queries / mo</t>
        </is>
      </c>
      <c r="D7" s="17" t="inlineStr">
        <is>
          <t>Total query volume across all channels</t>
        </is>
      </c>
    </row>
    <row r="8">
      <c r="A8" s="7" t="inlineStr">
        <is>
          <t>Current Baseline Deflection Rate</t>
        </is>
      </c>
      <c r="B8" s="18" t="n">
        <v>0.12</v>
      </c>
      <c r="C8" s="7" t="inlineStr">
        <is>
          <t>% deflected</t>
        </is>
      </c>
      <c r="D8" s="17" t="inlineStr">
        <is>
          <t>Current static FAQs / doc deflection</t>
        </is>
      </c>
    </row>
    <row r="9">
      <c r="A9" s="7" t="inlineStr">
        <is>
          <t>Cheerio Co-Pilot Target Deflection Rate</t>
        </is>
      </c>
      <c r="B9" s="18" t="n">
        <v>0.65</v>
      </c>
      <c r="C9" s="7" t="inlineStr">
        <is>
          <t>% deflected</t>
        </is>
      </c>
      <c r="D9" s="17" t="inlineStr">
        <is>
          <t>Target across Top 5 bottlenecks within 90 days</t>
        </is>
      </c>
    </row>
    <row r="10">
      <c r="A10" s="7" t="inlineStr">
        <is>
          <t>Queries Resolved Autonomously by AI</t>
        </is>
      </c>
      <c r="B10" s="16">
        <f>ROUND(B7*B9, 0)</f>
        <v/>
      </c>
      <c r="C10" s="7" t="inlineStr">
        <is>
          <t>Queries / mo</t>
        </is>
      </c>
      <c r="D10" s="17" t="inlineStr">
        <is>
          <t>Zero human agent intervention</t>
        </is>
      </c>
    </row>
    <row r="11">
      <c r="A11" s="7" t="inlineStr">
        <is>
          <t>Queries Escalated to Human Support</t>
        </is>
      </c>
      <c r="B11" s="16">
        <f>B7-B10</f>
        <v/>
      </c>
      <c r="C11" s="7" t="inlineStr">
        <is>
          <t>Queries / mo</t>
        </is>
      </c>
      <c r="D11" s="17" t="inlineStr">
        <is>
          <t>Complex edge cases &amp; policy disputes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34" customWidth="1" min="2" max="2"/>
    <col width="18" customWidth="1" min="3" max="3"/>
    <col width="73" customWidth="1" min="4" max="4"/>
  </cols>
  <sheetData>
    <row r="1">
      <c r="A1" s="1" t="inlineStr">
        <is>
          <t>AI Token Economics &amp; Infrastructure Running Cost</t>
        </is>
      </c>
    </row>
    <row r="2">
      <c r="A2" s="2" t="inlineStr">
        <is>
          <t>Source: OpenAI API Pricing (GPT-4o-mini), USD:INR = 84.0</t>
        </is>
      </c>
    </row>
    <row r="3"/>
    <row r="4">
      <c r="A4" s="15" t="inlineStr">
        <is>
          <t>Token Cost Parameter</t>
        </is>
      </c>
      <c r="B4" s="15" t="inlineStr">
        <is>
          <t>Value</t>
        </is>
      </c>
      <c r="C4" s="15" t="inlineStr">
        <is>
          <t>Unit</t>
        </is>
      </c>
      <c r="D4" s="15" t="inlineStr">
        <is>
          <t>Source / Benchmark</t>
        </is>
      </c>
    </row>
    <row r="5">
      <c r="A5" s="7" t="inlineStr">
        <is>
          <t>Model Chosen</t>
        </is>
      </c>
      <c r="B5" s="5" t="inlineStr">
        <is>
          <t>GPT-4o-mini</t>
        </is>
      </c>
      <c r="C5" s="7" t="inlineStr">
        <is>
          <t>LLM</t>
        </is>
      </c>
      <c r="D5" s="17" t="inlineStr">
        <is>
          <t>Multi-tier hybrid: Regex for syntax + GPT-4o-mini for copy rephrasing</t>
        </is>
      </c>
    </row>
    <row r="6">
      <c r="A6" s="7" t="inlineStr">
        <is>
          <t>USD to INR Exchange Rate</t>
        </is>
      </c>
      <c r="B6" s="19" t="n">
        <v>84</v>
      </c>
      <c r="C6" s="7" t="inlineStr">
        <is>
          <t>INR / USD</t>
        </is>
      </c>
      <c r="D6" s="17" t="inlineStr">
        <is>
          <t>Current Forex standard benchmark</t>
        </is>
      </c>
    </row>
    <row r="7">
      <c r="A7" s="7" t="inlineStr">
        <is>
          <t>Input Token Price per 1M Tokens ($)</t>
        </is>
      </c>
      <c r="B7" s="20" t="n">
        <v>0.15</v>
      </c>
      <c r="C7" s="7" t="inlineStr">
        <is>
          <t>USD / 1M</t>
        </is>
      </c>
      <c r="D7" s="17" t="inlineStr">
        <is>
          <t>Official OpenAI API pricing (openai.com/pricing)</t>
        </is>
      </c>
    </row>
    <row r="8">
      <c r="A8" s="7" t="inlineStr">
        <is>
          <t>Output Token Price per 1M Tokens ($)</t>
        </is>
      </c>
      <c r="B8" s="20" t="n">
        <v>0.6</v>
      </c>
      <c r="C8" s="7" t="inlineStr">
        <is>
          <t>USD / 1M</t>
        </is>
      </c>
      <c r="D8" s="17" t="inlineStr">
        <is>
          <t>Official OpenAI API pricing (openai.com/pricing)</t>
        </is>
      </c>
    </row>
    <row r="9">
      <c r="A9" s="7" t="inlineStr">
        <is>
          <t>Average Input Tokens per Session</t>
        </is>
      </c>
      <c r="B9" s="5" t="n">
        <v>2500</v>
      </c>
      <c r="C9" s="7" t="inlineStr">
        <is>
          <t>Tokens</t>
        </is>
      </c>
      <c r="D9" s="17" t="inlineStr">
        <is>
          <t>System prompt (1k) + error JSON (500) + 3 user turns (1k)</t>
        </is>
      </c>
    </row>
    <row r="10">
      <c r="A10" s="7" t="inlineStr">
        <is>
          <t>Average Output Tokens per Session</t>
        </is>
      </c>
      <c r="B10" s="5" t="n">
        <v>500</v>
      </c>
      <c r="C10" s="7" t="inlineStr">
        <is>
          <t>Tokens</t>
        </is>
      </c>
      <c r="D10" s="17" t="inlineStr">
        <is>
          <t>Diagnostic explanation + suggested template copy payload</t>
        </is>
      </c>
    </row>
    <row r="11">
      <c r="A11" s="7" t="inlineStr">
        <is>
          <t>Input Cost per Query Session ($)</t>
        </is>
      </c>
      <c r="B11" s="20">
        <f>(B9/1000000)*B7</f>
        <v/>
      </c>
      <c r="C11" s="7" t="inlineStr">
        <is>
          <t>USD</t>
        </is>
      </c>
      <c r="D11" s="17">
        <f> (Tokens / 1M) * Input Rate</f>
        <v/>
      </c>
    </row>
    <row r="12">
      <c r="A12" s="7" t="inlineStr">
        <is>
          <t>Output Cost per Query Session ($)</t>
        </is>
      </c>
      <c r="B12" s="20">
        <f>(B10/1000000)*B8</f>
        <v/>
      </c>
      <c r="C12" s="7" t="inlineStr">
        <is>
          <t>USD</t>
        </is>
      </c>
      <c r="D12" s="17">
        <f> (Tokens / 1M) * Output Rate</f>
        <v/>
      </c>
    </row>
    <row r="13">
      <c r="A13" s="7" t="inlineStr">
        <is>
          <t>Total LLM Cost per Query Session ($)</t>
        </is>
      </c>
      <c r="B13" s="20">
        <f>B11+B12</f>
        <v/>
      </c>
      <c r="C13" s="7" t="inlineStr">
        <is>
          <t>USD</t>
        </is>
      </c>
      <c r="D13" s="17">
        <f> Input Cost + Output Cost</f>
        <v/>
      </c>
    </row>
    <row r="14">
      <c r="A14" s="7" t="inlineStr">
        <is>
          <t>Total LLM Cost per Query Session (₹)</t>
        </is>
      </c>
      <c r="B14" s="21">
        <f>B13*B6</f>
        <v/>
      </c>
      <c r="C14" s="7" t="inlineStr">
        <is>
          <t>INR</t>
        </is>
      </c>
      <c r="D14" s="17" t="inlineStr">
        <is>
          <t>Converted to INR (approx 5.7 paise)</t>
        </is>
      </c>
    </row>
    <row r="15">
      <c r="A15" s="7" t="inlineStr">
        <is>
          <t>Serverless &amp; Redis Cache Overhead (₹)</t>
        </is>
      </c>
      <c r="B15" s="21" t="n">
        <v>0.1433</v>
      </c>
      <c r="C15" s="7" t="inlineStr">
        <is>
          <t>INR</t>
        </is>
      </c>
      <c r="D15" s="17" t="inlineStr">
        <is>
          <t>Cloudflare Workers execution + Redis semantic cache buffer</t>
        </is>
      </c>
    </row>
    <row r="16">
      <c r="A16" s="7" t="inlineStr">
        <is>
          <t>Total Operational Cost per Query (₹)</t>
        </is>
      </c>
      <c r="B16" s="21">
        <f>B14+B15</f>
        <v/>
      </c>
      <c r="C16" s="7" t="inlineStr">
        <is>
          <t>INR</t>
        </is>
      </c>
      <c r="D16" s="17" t="inlineStr">
        <is>
          <t>Blended total cost per troubleshooting query</t>
        </is>
      </c>
    </row>
    <row r="17">
      <c r="A17" s="7" t="inlineStr">
        <is>
          <t>Total Monthly Queries Handled</t>
        </is>
      </c>
      <c r="B17" s="5">
        <f>Volume_Model!B7</f>
        <v/>
      </c>
      <c r="C17" s="7" t="inlineStr">
        <is>
          <t>Queries / mo</t>
        </is>
      </c>
      <c r="D17" s="17" t="inlineStr">
        <is>
          <t>Volume_Model!B7</t>
        </is>
      </c>
    </row>
    <row r="18">
      <c r="A18" s="7" t="inlineStr">
        <is>
          <t>Total Monthly AI Infra Cost (₹)</t>
        </is>
      </c>
      <c r="B18" s="19">
        <f>ROUND(B16*B17, 0)</f>
        <v/>
      </c>
      <c r="C18" s="7" t="inlineStr">
        <is>
          <t>INR / mo</t>
        </is>
      </c>
      <c r="D18" s="17" t="inlineStr">
        <is>
          <t>17,500 queries * ₹0.20</t>
        </is>
      </c>
    </row>
    <row r="19">
      <c r="A19" s="7" t="inlineStr">
        <is>
          <t>AI Cost per Active Business / Month (₹)</t>
        </is>
      </c>
      <c r="B19" s="21">
        <f>ROUND(B18/Volume_Model!B5, 2)</f>
        <v/>
      </c>
      <c r="C19" s="7" t="inlineStr">
        <is>
          <t>INR / biz / mo</t>
        </is>
      </c>
      <c r="D19" s="17" t="inlineStr">
        <is>
          <t>₹3,500 / 5,000 active businesses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24" customWidth="1" min="2" max="2"/>
    <col width="20" customWidth="1" min="3" max="3"/>
    <col width="70" customWidth="1" min="4" max="4"/>
  </cols>
  <sheetData>
    <row r="1">
      <c r="A1" s="1" t="inlineStr">
        <is>
          <t>Human Support vs. Cheerio Co-Pilot Cost Analysis</t>
        </is>
      </c>
    </row>
    <row r="2">
      <c r="A2" s="2" t="inlineStr">
        <is>
          <t>Agent Capacity: 40 tickets/day • Indian B2B SaaS Salary: ₹35,000/month</t>
        </is>
      </c>
    </row>
    <row r="3"/>
    <row r="4">
      <c r="A4" s="15" t="inlineStr">
        <is>
          <t>Cost &amp; Staffing Parameter</t>
        </is>
      </c>
      <c r="B4" s="15" t="inlineStr">
        <is>
          <t>Value</t>
        </is>
      </c>
      <c r="C4" s="15" t="inlineStr">
        <is>
          <t>Unit</t>
        </is>
      </c>
      <c r="D4" s="15" t="inlineStr">
        <is>
          <t>Formula / Rationale</t>
        </is>
      </c>
    </row>
    <row r="5">
      <c r="A5" s="7" t="inlineStr">
        <is>
          <t>Human Support Rep Monthly Salary (₹)</t>
        </is>
      </c>
      <c r="B5" s="19" t="n">
        <v>35000</v>
      </c>
      <c r="C5" s="7" t="inlineStr">
        <is>
          <t>INR / agent / mo</t>
        </is>
      </c>
      <c r="D5" s="17" t="inlineStr">
        <is>
          <t>Indian B2B SaaS customer support benchmark (Glassdoor/AmbitionBox)</t>
        </is>
      </c>
    </row>
    <row r="6">
      <c r="A6" s="7" t="inlineStr">
        <is>
          <t>Working Days per Month</t>
        </is>
      </c>
      <c r="B6" s="5" t="n">
        <v>22</v>
      </c>
      <c r="C6" s="7" t="inlineStr">
        <is>
          <t>Days</t>
        </is>
      </c>
      <c r="D6" s="17" t="inlineStr">
        <is>
          <t>Standard 5-day work week</t>
        </is>
      </c>
    </row>
    <row r="7">
      <c r="A7" s="7" t="inlineStr">
        <is>
          <t>Daily Ticket Capacity per Agent</t>
        </is>
      </c>
      <c r="B7" s="16" t="n">
        <v>40</v>
      </c>
      <c r="C7" s="7" t="inlineStr">
        <is>
          <t>Tickets / day</t>
        </is>
      </c>
      <c r="D7" s="17" t="inlineStr">
        <is>
          <t>Standard chat/ticket handling capacity</t>
        </is>
      </c>
    </row>
    <row r="8">
      <c r="A8" s="7" t="inlineStr">
        <is>
          <t>Monthly Ticket Capacity per Agent</t>
        </is>
      </c>
      <c r="B8" s="16">
        <f>B6*B7</f>
        <v/>
      </c>
      <c r="C8" s="7" t="inlineStr">
        <is>
          <t>Tickets / mo</t>
        </is>
      </c>
      <c r="D8" s="17">
        <f> 22 days * 40 tickets/day (880 tickets/mo)</f>
        <v/>
      </c>
    </row>
    <row r="9">
      <c r="A9" s="22" t="inlineStr">
        <is>
          <t>--- MODEL 1: PURE HUMAN SUPPORT ---</t>
        </is>
      </c>
      <c r="B9" s="22" t="inlineStr"/>
      <c r="C9" s="23" t="inlineStr"/>
      <c r="D9" s="24" t="inlineStr"/>
    </row>
    <row r="10">
      <c r="A10" s="7" t="inlineStr">
        <is>
          <t>Total Inbound Query Volume</t>
        </is>
      </c>
      <c r="B10" s="16">
        <f>Volume_Model!B7</f>
        <v/>
      </c>
      <c r="C10" s="7" t="inlineStr">
        <is>
          <t>Tickets / mo</t>
        </is>
      </c>
      <c r="D10" s="17" t="inlineStr">
        <is>
          <t>17,500 total queries</t>
        </is>
      </c>
    </row>
    <row r="11">
      <c r="A11" s="7" t="inlineStr">
        <is>
          <t>Human Support Agents Needed</t>
        </is>
      </c>
      <c r="B11" s="16">
        <f>ROUNDUP(B10/B8, 0)</f>
        <v/>
      </c>
      <c r="C11" s="7" t="inlineStr">
        <is>
          <t>Agents</t>
        </is>
      </c>
      <c r="D11" s="17">
        <f> ROUNDUP(17,500 / 880) = 20 Agents</f>
        <v/>
      </c>
    </row>
    <row r="12">
      <c r="A12" s="7" t="inlineStr">
        <is>
          <t>Total Monthly Human Support Cost (₹)</t>
        </is>
      </c>
      <c r="B12" s="19">
        <f>B11*B5</f>
        <v/>
      </c>
      <c r="C12" s="7" t="inlineStr">
        <is>
          <t>INR / mo</t>
        </is>
      </c>
      <c r="D12" s="17" t="inlineStr">
        <is>
          <t>20 agents * ₹35,000/mo = ₹7,00,000</t>
        </is>
      </c>
    </row>
    <row r="13">
      <c r="A13" s="7" t="inlineStr">
        <is>
          <t>Cost per Resolved Ticket (Pure Human) (₹)</t>
        </is>
      </c>
      <c r="B13" s="21">
        <f>ROUND(B12/B10, 2)</f>
        <v/>
      </c>
      <c r="C13" s="7" t="inlineStr">
        <is>
          <t>INR / ticket</t>
        </is>
      </c>
      <c r="D13" s="17">
        <f> ₹7,00,000 / 17,500 = ₹40.00</f>
        <v/>
      </c>
    </row>
    <row r="14">
      <c r="A14" s="22" t="inlineStr">
        <is>
          <t>--- MODEL 2: CHEERIO CO-PILOT + SCALED HUMAN ---</t>
        </is>
      </c>
      <c r="B14" s="22" t="inlineStr"/>
      <c r="C14" s="23" t="inlineStr"/>
      <c r="D14" s="24" t="inlineStr"/>
    </row>
    <row r="15">
      <c r="A15" s="7" t="inlineStr">
        <is>
          <t>Queries Handled by Co-Pilot (65% Deflection)</t>
        </is>
      </c>
      <c r="B15" s="16">
        <f>Volume_Model!B10</f>
        <v/>
      </c>
      <c r="C15" s="7" t="inlineStr">
        <is>
          <t>Tickets / mo</t>
        </is>
      </c>
      <c r="D15" s="17" t="inlineStr">
        <is>
          <t>11,375 tickets resolved with zero human touch</t>
        </is>
      </c>
    </row>
    <row r="16">
      <c r="A16" s="7" t="inlineStr">
        <is>
          <t>Queries Escalated to Human Support (35%)</t>
        </is>
      </c>
      <c r="B16" s="16">
        <f>Volume_Model!B11</f>
        <v/>
      </c>
      <c r="C16" s="7" t="inlineStr">
        <is>
          <t>Tickets / mo</t>
        </is>
      </c>
      <c r="D16" s="17" t="inlineStr">
        <is>
          <t>6,125 tickets requiring human intervention</t>
        </is>
      </c>
    </row>
    <row r="17">
      <c r="A17" s="7" t="inlineStr">
        <is>
          <t>Human Agents Needed for Escalations</t>
        </is>
      </c>
      <c r="B17" s="16">
        <f>ROUNDUP(B16/B8, 0)</f>
        <v/>
      </c>
      <c r="C17" s="7" t="inlineStr">
        <is>
          <t>Agents</t>
        </is>
      </c>
      <c r="D17" s="17">
        <f> ROUNDUP(6,125 / 880) = 7 Agents</f>
        <v/>
      </c>
    </row>
    <row r="18">
      <c r="A18" s="7" t="inlineStr">
        <is>
          <t>Scaled Human Support Salary Cost (₹)</t>
        </is>
      </c>
      <c r="B18" s="19">
        <f>B17*B5</f>
        <v/>
      </c>
      <c r="C18" s="7" t="inlineStr">
        <is>
          <t>INR / mo</t>
        </is>
      </c>
      <c r="D18" s="17" t="inlineStr">
        <is>
          <t>7 agents * ₹35,000/mo = ₹2,45,000</t>
        </is>
      </c>
    </row>
    <row r="19">
      <c r="A19" s="7" t="inlineStr">
        <is>
          <t>Monthly AI Infrastructure Cost (₹)</t>
        </is>
      </c>
      <c r="B19" s="19">
        <f>Token_Economics!B18</f>
        <v/>
      </c>
      <c r="C19" s="7" t="inlineStr">
        <is>
          <t>INR / mo</t>
        </is>
      </c>
      <c r="D19" s="17" t="inlineStr">
        <is>
          <t>₹3,500 (from Token_Economics)</t>
        </is>
      </c>
    </row>
    <row r="20">
      <c r="A20" s="7" t="inlineStr">
        <is>
          <t>Total Blended Support Cost (₹)</t>
        </is>
      </c>
      <c r="B20" s="19">
        <f>B18+B19</f>
        <v/>
      </c>
      <c r="C20" s="7" t="inlineStr">
        <is>
          <t>INR / mo</t>
        </is>
      </c>
      <c r="D20" s="17" t="inlineStr">
        <is>
          <t>₹2,45,000 human + ₹3,500 AI = ₹2,48,500</t>
        </is>
      </c>
    </row>
    <row r="21">
      <c r="A21" s="7" t="inlineStr">
        <is>
          <t>Blended Cost per Ticket (₹)</t>
        </is>
      </c>
      <c r="B21" s="21">
        <f>ROUND(B20/B10, 2)</f>
        <v/>
      </c>
      <c r="C21" s="7" t="inlineStr">
        <is>
          <t>INR / ticket</t>
        </is>
      </c>
      <c r="D21" s="17">
        <f> ₹2,48,500 / 17,500 = ₹14.20</f>
        <v/>
      </c>
    </row>
    <row r="22">
      <c r="A22" s="22" t="inlineStr">
        <is>
          <t>--- NET SAVINGS &amp; ROI ---</t>
        </is>
      </c>
      <c r="B22" s="22" t="inlineStr"/>
      <c r="C22" s="23" t="inlineStr"/>
      <c r="D22" s="24" t="inlineStr"/>
    </row>
    <row r="23">
      <c r="A23" s="13" t="inlineStr">
        <is>
          <t>Net Monthly Operational Savings (₹)</t>
        </is>
      </c>
      <c r="B23" s="25">
        <f>B12-B20</f>
        <v/>
      </c>
      <c r="C23" s="13" t="inlineStr">
        <is>
          <t>INR / mo</t>
        </is>
      </c>
      <c r="D23" s="26">
        <f> Pure Human Cost - Blended Cost</f>
        <v/>
      </c>
    </row>
    <row r="24">
      <c r="A24" s="13" t="inlineStr">
        <is>
          <t>Net Annual Operational Savings (₹)</t>
        </is>
      </c>
      <c r="B24" s="25">
        <f>B23*12</f>
        <v/>
      </c>
      <c r="C24" s="13" t="inlineStr">
        <is>
          <t>INR / yr</t>
        </is>
      </c>
      <c r="D24" s="26">
        <f> Monthly Savings * 12 (₹54.18 Lakhs)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68" customWidth="1" min="1" max="1"/>
    <col width="24" customWidth="1" min="2" max="2"/>
    <col width="19" customWidth="1" min="3" max="3"/>
    <col width="64" customWidth="1" min="4" max="4"/>
  </cols>
  <sheetData>
    <row r="1">
      <c r="A1" s="1" t="inlineStr">
        <is>
          <t>Packaging, Billing Strategy &amp; Churn Prevention ROI</t>
        </is>
      </c>
    </row>
    <row r="2">
      <c r="A2" s="2" t="inlineStr">
        <is>
          <t>Justifying 100% Free Core In-App Feature via Retention Economics</t>
        </is>
      </c>
    </row>
    <row r="3"/>
    <row r="4">
      <c r="A4" s="15" t="inlineStr">
        <is>
          <t>Retention &amp; Revenue Parameter</t>
        </is>
      </c>
      <c r="B4" s="15" t="inlineStr">
        <is>
          <t>Value</t>
        </is>
      </c>
      <c r="C4" s="15" t="inlineStr">
        <is>
          <t>Unit</t>
        </is>
      </c>
      <c r="D4" s="15" t="inlineStr">
        <is>
          <t>Strategic Rationale</t>
        </is>
      </c>
    </row>
    <row r="5">
      <c r="A5" s="7" t="inlineStr">
        <is>
          <t>Cheerio Active Businesses</t>
        </is>
      </c>
      <c r="B5" s="16" t="n">
        <v>5000</v>
      </c>
      <c r="C5" s="7" t="inlineStr">
        <is>
          <t>Businesses</t>
        </is>
      </c>
      <c r="D5" s="17" t="inlineStr">
        <is>
          <t>Given active customer base</t>
        </is>
      </c>
    </row>
    <row r="6">
      <c r="A6" s="7" t="inlineStr">
        <is>
          <t>Estimated Average Monthly Subscription (ARPU)</t>
        </is>
      </c>
      <c r="B6" s="19" t="n">
        <v>2999</v>
      </c>
      <c r="C6" s="7" t="inlineStr">
        <is>
          <t>INR / biz / mo</t>
        </is>
      </c>
      <c r="D6" s="17" t="inlineStr">
        <is>
          <t>Benchmark standard WhatsApp marketing SaaS subscription tier</t>
        </is>
      </c>
    </row>
    <row r="7">
      <c r="A7" s="7" t="inlineStr">
        <is>
          <t>Total Monthly Recurring Revenue (MRR)</t>
        </is>
      </c>
      <c r="B7" s="19">
        <f>B5*B6</f>
        <v/>
      </c>
      <c r="C7" s="7" t="inlineStr">
        <is>
          <t>INR / mo</t>
        </is>
      </c>
      <c r="D7" s="17" t="inlineStr">
        <is>
          <t>Estimated Cheerio baseline MRR (₹1.50 Crore / mo)</t>
        </is>
      </c>
    </row>
    <row r="8">
      <c r="A8" s="7" t="inlineStr">
        <is>
          <t>Baseline Monthly Merchant Churn Rate</t>
        </is>
      </c>
      <c r="B8" s="18" t="n">
        <v>0.05</v>
      </c>
      <c r="C8" s="7" t="inlineStr">
        <is>
          <t>% / mo</t>
        </is>
      </c>
      <c r="D8" s="17" t="inlineStr">
        <is>
          <t>Estimated 5.0% monthly churn typical in Indian SMB SaaS</t>
        </is>
      </c>
    </row>
    <row r="9">
      <c r="A9" s="7" t="inlineStr">
        <is>
          <t>Lost Businesses per Month (Baseline Churn)</t>
        </is>
      </c>
      <c r="B9" s="16">
        <f>ROUND(B5*B8, 0)</f>
        <v/>
      </c>
      <c r="C9" s="7" t="inlineStr">
        <is>
          <t>Businesses / mo</t>
        </is>
      </c>
      <c r="D9" s="17" t="inlineStr">
        <is>
          <t>250 merchants churning each month</t>
        </is>
      </c>
    </row>
    <row r="10">
      <c r="A10" s="7" t="inlineStr">
        <is>
          <t>Estimated Churn Reduction via Co-Pilot (ZOCR)</t>
        </is>
      </c>
      <c r="B10" s="18" t="n">
        <v>0.012</v>
      </c>
      <c r="C10" s="7" t="inlineStr">
        <is>
          <t>% absolute</t>
        </is>
      </c>
      <c r="D10" s="17" t="inlineStr">
        <is>
          <t>Saving 1.2% churn by eliminating onboarding drop-offs</t>
        </is>
      </c>
    </row>
    <row r="11">
      <c r="A11" s="7" t="inlineStr">
        <is>
          <t>Preserved Businesses per Month</t>
        </is>
      </c>
      <c r="B11" s="16">
        <f>ROUND(B5*B10, 0)</f>
        <v/>
      </c>
      <c r="C11" s="7" t="inlineStr">
        <is>
          <t>Businesses / mo</t>
        </is>
      </c>
      <c r="D11" s="17" t="inlineStr">
        <is>
          <t>60 businesses retained every month</t>
        </is>
      </c>
    </row>
    <row r="12">
      <c r="A12" s="7" t="inlineStr">
        <is>
          <t>Preserved Recurring Revenue per Month (₹)</t>
        </is>
      </c>
      <c r="B12" s="19">
        <f>B11*B6</f>
        <v/>
      </c>
      <c r="C12" s="7" t="inlineStr">
        <is>
          <t>INR / mo</t>
        </is>
      </c>
      <c r="D12" s="17" t="inlineStr">
        <is>
          <t>60 retained businesses * ₹2,999 ARPU = ₹1,79,940/mo</t>
        </is>
      </c>
    </row>
    <row r="13">
      <c r="A13" s="7" t="inlineStr">
        <is>
          <t>Preserved Annual Recurring Revenue (ARR) (₹)</t>
        </is>
      </c>
      <c r="B13" s="19">
        <f>B12*12</f>
        <v/>
      </c>
      <c r="C13" s="7" t="inlineStr">
        <is>
          <t>INR / yr</t>
        </is>
      </c>
      <c r="D13" s="17">
        <f> ₹1,79,940 * 12 = ₹21.59 Lakhs/yr</f>
        <v/>
      </c>
    </row>
    <row r="14">
      <c r="A14" s="7" t="inlineStr">
        <is>
          <t>Monthly Cheerio Co-Pilot AI Cost (₹)</t>
        </is>
      </c>
      <c r="B14" s="19">
        <f>Token_Economics!B18</f>
        <v/>
      </c>
      <c r="C14" s="7" t="inlineStr">
        <is>
          <t>INR / mo</t>
        </is>
      </c>
      <c r="D14" s="17" t="inlineStr">
        <is>
          <t>₹3,500 total monthly AI infrastructure cost</t>
        </is>
      </c>
    </row>
    <row r="15">
      <c r="A15" s="7" t="inlineStr">
        <is>
          <t>Monthly Net Financial Value Generated (₹)</t>
        </is>
      </c>
      <c r="B15" s="19">
        <f>B12-B14</f>
        <v/>
      </c>
      <c r="C15" s="7" t="inlineStr">
        <is>
          <t>INR / mo</t>
        </is>
      </c>
      <c r="D15" s="17" t="inlineStr">
        <is>
          <t>Preserved Revenue - AI Operating Cost</t>
        </is>
      </c>
    </row>
    <row r="16">
      <c r="A16" s="13" t="inlineStr">
        <is>
          <t>ROI on AI Infrastructure Spend</t>
        </is>
      </c>
      <c r="B16" s="27">
        <f>ROUND(B12/B14, 1)</f>
        <v/>
      </c>
      <c r="C16" s="13" t="inlineStr">
        <is>
          <t>x Return</t>
        </is>
      </c>
      <c r="D16" s="26" t="inlineStr">
        <is>
          <t>₹1,79,940 preserved revenue / ₹3,500 spend = 51.4x ROI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2026-10-12T12:52:47Z</dcterms:created>
  <dcterms:modified xmlns:dcterms="http://purl.org/dc/terms/" xmlns:xsi="http://www.w3.org/2001/XMLSchema-instance" xsi:type="dcterms:W3CDTF">2026-10-12T12:52:47Z</dcterms:modified>
</cp:coreProperties>
</file>