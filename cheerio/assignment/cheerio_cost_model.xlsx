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Volume_Model" sheetId="3" state="visible" r:id="rId3"/>
    <sheet xmlns:r="http://schemas.openxmlformats.org/officeDocument/2006/relationships" name="Token_Economics" sheetId="4" state="visible" r:id="rId4"/>
    <sheet xmlns:r="http://schemas.openxmlformats.org/officeDocument/2006/relationships" name="Human_Comparison" sheetId="5" state="visible" r:id="rId5"/>
    <sheet xmlns:r="http://schemas.openxmlformats.org/officeDocument/2006/relationships" name="Retention_ROI" sheetId="6" state="visible" r:id="rId6"/>
    <sheet xmlns:r="http://schemas.openxmlformats.org/officeDocument/2006/relationships" name="Billing_Strategy" sheetId="7" state="visible" r:id="rId7"/>
    <sheet xmlns:r="http://schemas.openxmlformats.org/officeDocument/2006/relationships" name="Audit_Gover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₹#,##0.0000"/>
    <numFmt numFmtId="165" formatCode="$#,##0.000"/>
    <numFmt numFmtId="166" formatCode="₹#,##0"/>
    <numFmt numFmtId="167" formatCode="0.0%"/>
    <numFmt numFmtId="168" formatCode="$#,##0.000000"/>
    <numFmt numFmtId="169" formatCode="₹#,##0.00"/>
    <numFmt numFmtId="170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applyAlignment="1" pivotButton="0" quotePrefix="0" xfId="0">
      <alignment horizontal="right"/>
    </xf>
    <xf numFmtId="0" fontId="5" fillId="3" borderId="1" pivotButton="0" quotePrefix="0" xfId="0"/>
    <xf numFmtId="0" fontId="3" fillId="2" borderId="0" pivotButton="0" quotePrefix="0" xfId="0"/>
    <xf numFmtId="3" fontId="4" fillId="0" borderId="1" pivotButton="0" quotePrefix="0" xfId="0"/>
    <xf numFmtId="0" fontId="2" fillId="0" borderId="1" pivotButton="0" quotePrefix="0" xfId="0"/>
    <xf numFmtId="167" fontId="4" fillId="0" borderId="1" pivotButton="0" quotePrefix="0" xfId="0"/>
    <xf numFmtId="166" fontId="4" fillId="0" borderId="1" pivotButton="0" quotePrefix="0" xfId="0"/>
    <xf numFmtId="168" fontId="4" fillId="0" borderId="1" pivotButton="0" quotePrefix="0" xfId="0"/>
    <xf numFmtId="169" fontId="4" fillId="0" borderId="1" pivotButton="0" quotePrefix="0" xfId="0"/>
    <xf numFmtId="0" fontId="4" fillId="4" borderId="0" pivotButton="0" quotePrefix="0" xfId="0"/>
    <xf numFmtId="0" fontId="3" fillId="2" borderId="0" applyAlignment="1" pivotButton="0" quotePrefix="0" xfId="0">
      <alignment horizontal="center"/>
    </xf>
    <xf numFmtId="166" fontId="5" fillId="0" borderId="1" applyAlignment="1" pivotButton="0" quotePrefix="0" xfId="0">
      <alignment horizontal="right"/>
    </xf>
    <xf numFmtId="0" fontId="5" fillId="4" borderId="0" pivotButton="0" quotePrefix="0" xfId="0"/>
    <xf numFmtId="0" fontId="2" fillId="4" borderId="0" pivotButton="0" quotePrefix="0" xfId="0"/>
    <xf numFmtId="167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70" fontId="4" fillId="0" borderId="1" pivotButton="0" quotePrefix="0" xfId="0"/>
    <xf numFmtId="170" fontId="4" fillId="0" borderId="1" applyAlignment="1" pivotButton="0" quotePrefix="0" xfId="0">
      <alignment horizontal="right"/>
    </xf>
    <xf numFmtId="169" fontId="5" fillId="0" borderId="1" applyAlignment="1" pivotButton="0" quotePrefix="0" xfId="0">
      <alignment horizontal="right"/>
    </xf>
    <xf numFmtId="169" fontId="4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47" customWidth="1" min="2" max="2"/>
    <col width="12" customWidth="1" min="3" max="3"/>
    <col width="25" customWidth="1" min="4" max="4"/>
    <col width="24" customWidth="1" min="5" max="5"/>
    <col width="59" customWidth="1" min="6" max="6"/>
    <col width="30" customWidth="1" min="7" max="7"/>
  </cols>
  <sheetData>
    <row r="1">
      <c r="A1" s="1" t="inlineStr">
        <is>
          <t>Cheerio AI — Co-Pilot Financial &amp; Unit Economics Model: Assumptions</t>
        </is>
      </c>
    </row>
    <row r="2">
      <c r="A2" s="2" t="inlineStr">
        <is>
          <t>Single Source of Truth • Candidate: Saksham Gupta (saksham77779@gmail.com)</t>
        </is>
      </c>
    </row>
    <row r="3"/>
    <row r="4">
      <c r="A4" s="3" t="inlineStr">
        <is>
          <t>Parameter Code</t>
        </is>
      </c>
      <c r="B4" s="3" t="inlineStr">
        <is>
          <t>Parameter Description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Type</t>
        </is>
      </c>
      <c r="F4" s="3" t="inlineStr">
        <is>
          <t>Source URL / Benchmark Rationale</t>
        </is>
      </c>
      <c r="G4" s="4" t="inlineStr">
        <is>
          <t>Access / Verification Date</t>
        </is>
      </c>
    </row>
    <row r="5">
      <c r="A5" s="5" t="inlineStr">
        <is>
          <t>BIZ_BASE</t>
        </is>
      </c>
      <c r="B5" s="6" t="inlineStr">
        <is>
          <t>Active Merchant Customer Base</t>
        </is>
      </c>
      <c r="C5" s="7" t="n">
        <v>5000</v>
      </c>
      <c r="D5" s="6" t="inlineStr">
        <is>
          <t>Businesses</t>
        </is>
      </c>
      <c r="E5" s="6" t="inlineStr">
        <is>
          <t>Given in Brief</t>
        </is>
      </c>
      <c r="F5" s="6" t="inlineStr">
        <is>
          <t>Cheerio Assignment Brief specification</t>
        </is>
      </c>
      <c r="G5" s="6" t="inlineStr">
        <is>
          <t>Oct 2026</t>
        </is>
      </c>
    </row>
    <row r="6">
      <c r="A6" s="5" t="inlineStr">
        <is>
          <t>QUERY_RATE</t>
        </is>
      </c>
      <c r="B6" s="6" t="inlineStr">
        <is>
          <t>Monthly Support Query Rate per Merchant</t>
        </is>
      </c>
      <c r="C6" s="8" t="n">
        <v>3.5</v>
      </c>
      <c r="D6" s="6" t="inlineStr">
        <is>
          <t>Queries / biz / mo</t>
        </is>
      </c>
      <c r="E6" s="6" t="inlineStr">
        <is>
          <t>Stated Assumption</t>
        </is>
      </c>
      <c r="F6" s="6" t="inlineStr">
        <is>
          <t>5-7 queries in Month 1 onboarding; 1-2 in mature phase</t>
        </is>
      </c>
      <c r="G6" s="6" t="inlineStr">
        <is>
          <t>Oct 2026</t>
        </is>
      </c>
    </row>
    <row r="7">
      <c r="A7" s="5" t="inlineStr">
        <is>
          <t>FX_USD_INR</t>
        </is>
      </c>
      <c r="B7" s="6" t="inlineStr">
        <is>
          <t>USD to INR Exchange Rate</t>
        </is>
      </c>
      <c r="C7" s="9" t="n">
        <v>84</v>
      </c>
      <c r="D7" s="6" t="inlineStr">
        <is>
          <t>INR / USD</t>
        </is>
      </c>
      <c r="E7" s="6" t="inlineStr">
        <is>
          <t>Industry Benchmark</t>
        </is>
      </c>
      <c r="F7" s="6" t="inlineStr">
        <is>
          <t>RBI Reference Exchange Rate (rbi.org.in)</t>
        </is>
      </c>
      <c r="G7" s="6" t="inlineStr">
        <is>
          <t>Oct 2026</t>
        </is>
      </c>
    </row>
    <row r="8">
      <c r="A8" s="5" t="inlineStr">
        <is>
          <t>LLM_IN_PRICE</t>
        </is>
      </c>
      <c r="B8" s="6" t="inlineStr">
        <is>
          <t>GPT-4o-mini Input Token Price</t>
        </is>
      </c>
      <c r="C8" s="9" t="n">
        <v>0.15</v>
      </c>
      <c r="D8" s="6" t="inlineStr">
        <is>
          <t>USD / 1M tokens</t>
        </is>
      </c>
      <c r="E8" s="6" t="inlineStr">
        <is>
          <t>Verified API Pricing</t>
        </is>
      </c>
      <c r="F8" s="6" t="inlineStr">
        <is>
          <t>https://openai.com/api/pricing</t>
        </is>
      </c>
      <c r="G8" s="6" t="inlineStr">
        <is>
          <t>Oct 2026</t>
        </is>
      </c>
    </row>
    <row r="9">
      <c r="A9" s="5" t="inlineStr">
        <is>
          <t>LLM_IN_CACHE</t>
        </is>
      </c>
      <c r="B9" s="6" t="inlineStr">
        <is>
          <t>GPT-4o-mini Cached Input Token Price</t>
        </is>
      </c>
      <c r="C9" s="9" t="n">
        <v>0.075</v>
      </c>
      <c r="D9" s="6" t="inlineStr">
        <is>
          <t>USD / 1M tokens</t>
        </is>
      </c>
      <c r="E9" s="6" t="inlineStr">
        <is>
          <t>Verified API Pricing</t>
        </is>
      </c>
      <c r="F9" s="6" t="inlineStr">
        <is>
          <t>https://openai.com/api/pricing (50% cache hit discount)</t>
        </is>
      </c>
      <c r="G9" s="6" t="inlineStr">
        <is>
          <t>Oct 2026</t>
        </is>
      </c>
    </row>
    <row r="10">
      <c r="A10" s="5" t="inlineStr">
        <is>
          <t>LLM_OUT_PRICE</t>
        </is>
      </c>
      <c r="B10" s="6" t="inlineStr">
        <is>
          <t>GPT-4o-mini Output Token Price</t>
        </is>
      </c>
      <c r="C10" s="9" t="n">
        <v>0.6</v>
      </c>
      <c r="D10" s="6" t="inlineStr">
        <is>
          <t>USD / 1M tokens</t>
        </is>
      </c>
      <c r="E10" s="6" t="inlineStr">
        <is>
          <t>Verified API Pricing</t>
        </is>
      </c>
      <c r="F10" s="6" t="inlineStr">
        <is>
          <t>https://openai.com/api/pricing</t>
        </is>
      </c>
      <c r="G10" s="6" t="inlineStr">
        <is>
          <t>Oct 2026</t>
        </is>
      </c>
    </row>
    <row r="11">
      <c r="A11" s="5" t="inlineStr">
        <is>
          <t>TOKENS_IN</t>
        </is>
      </c>
      <c r="B11" s="6" t="inlineStr">
        <is>
          <t>Average Input Tokens per Query Session</t>
        </is>
      </c>
      <c r="C11" s="7" t="n">
        <v>2500</v>
      </c>
      <c r="D11" s="6" t="inlineStr">
        <is>
          <t>Tokens / query</t>
        </is>
      </c>
      <c r="E11" s="6" t="inlineStr">
        <is>
          <t>Stated Assumption</t>
        </is>
      </c>
      <c r="F11" s="6" t="inlineStr">
        <is>
          <t>System prompt (1k) + error payload (500) + 3 turns (1k)</t>
        </is>
      </c>
      <c r="G11" s="6" t="inlineStr">
        <is>
          <t>Oct 2026</t>
        </is>
      </c>
    </row>
    <row r="12">
      <c r="A12" s="5" t="inlineStr">
        <is>
          <t>TOKENS_OUT</t>
        </is>
      </c>
      <c r="B12" s="6" t="inlineStr">
        <is>
          <t>Average Output Tokens per Query Session</t>
        </is>
      </c>
      <c r="C12" s="7" t="n">
        <v>500</v>
      </c>
      <c r="D12" s="6" t="inlineStr">
        <is>
          <t>Tokens / query</t>
        </is>
      </c>
      <c r="E12" s="6" t="inlineStr">
        <is>
          <t>Stated Assumption</t>
        </is>
      </c>
      <c r="F12" s="6" t="inlineStr">
        <is>
          <t>Structured diagnostic + JSON remediation payload</t>
        </is>
      </c>
      <c r="G12" s="6" t="inlineStr">
        <is>
          <t>Oct 2026</t>
        </is>
      </c>
    </row>
    <row r="13">
      <c r="A13" s="5" t="inlineStr">
        <is>
          <t>INFRA_OVERHEAD</t>
        </is>
      </c>
      <c r="B13" s="6" t="inlineStr">
        <is>
          <t>Serverless &amp; Redis Cache Buffer</t>
        </is>
      </c>
      <c r="C13" s="10" t="n">
        <v>0.1433</v>
      </c>
      <c r="D13" s="6" t="inlineStr">
        <is>
          <t>INR / query</t>
        </is>
      </c>
      <c r="E13" s="6" t="inlineStr">
        <is>
          <t>Industry Benchmark</t>
        </is>
      </c>
      <c r="F13" s="6" t="inlineStr">
        <is>
          <t>Cloudflare Workers &amp; Upstash Redis semantic cache</t>
        </is>
      </c>
      <c r="G13" s="6" t="inlineStr">
        <is>
          <t>Oct 2026</t>
        </is>
      </c>
    </row>
    <row r="14">
      <c r="A14" s="5" t="inlineStr">
        <is>
          <t>AGENT_SALARY</t>
        </is>
      </c>
      <c r="B14" s="6" t="inlineStr">
        <is>
          <t>Human Support Rep Monthly Salary</t>
        </is>
      </c>
      <c r="C14" s="11" t="n">
        <v>35000</v>
      </c>
      <c r="D14" s="6" t="inlineStr">
        <is>
          <t>INR / agent / mo</t>
        </is>
      </c>
      <c r="E14" s="6" t="inlineStr">
        <is>
          <t>Industry Benchmark</t>
        </is>
      </c>
      <c r="F14" s="6" t="inlineStr">
        <is>
          <t>Glassdoor / AmbitionBox Indian B2B SaaS CS benchmark</t>
        </is>
      </c>
      <c r="G14" s="6" t="inlineStr">
        <is>
          <t>Oct 2026</t>
        </is>
      </c>
    </row>
    <row r="15">
      <c r="A15" s="5" t="inlineStr">
        <is>
          <t>WORK_DAYS</t>
        </is>
      </c>
      <c r="B15" s="6" t="inlineStr">
        <is>
          <t>Working Days per Month</t>
        </is>
      </c>
      <c r="C15" s="7" t="n">
        <v>22</v>
      </c>
      <c r="D15" s="6" t="inlineStr">
        <is>
          <t>Days / mo</t>
        </is>
      </c>
      <c r="E15" s="6" t="inlineStr">
        <is>
          <t>Standard Work Week</t>
        </is>
      </c>
      <c r="F15" s="6" t="inlineStr">
        <is>
          <t>5-day work week standard</t>
        </is>
      </c>
      <c r="G15" s="6" t="inlineStr">
        <is>
          <t>Oct 2026</t>
        </is>
      </c>
    </row>
    <row r="16">
      <c r="A16" s="5" t="inlineStr">
        <is>
          <t>AGENT_TICKETS_DAY</t>
        </is>
      </c>
      <c r="B16" s="6" t="inlineStr">
        <is>
          <t>Daily Ticket Handling Capacity per Rep</t>
        </is>
      </c>
      <c r="C16" s="7" t="n">
        <v>40</v>
      </c>
      <c r="D16" s="6" t="inlineStr">
        <is>
          <t>Tickets / agent / day</t>
        </is>
      </c>
      <c r="E16" s="6" t="inlineStr">
        <is>
          <t>Stated Assumption</t>
        </is>
      </c>
      <c r="F16" s="6" t="inlineStr">
        <is>
          <t>Assumes 12 mins per ticket across async chat / email</t>
        </is>
      </c>
      <c r="G16" s="6" t="inlineStr">
        <is>
          <t>Oct 2026</t>
        </is>
      </c>
    </row>
    <row r="17">
      <c r="A17" s="5" t="inlineStr">
        <is>
          <t>BASE_DEFLECTION</t>
        </is>
      </c>
      <c r="B17" s="6" t="inlineStr">
        <is>
          <t>Baseline Deflection Rate (Status Quo)</t>
        </is>
      </c>
      <c r="C17" s="12" t="n">
        <v>0.12</v>
      </c>
      <c r="D17" s="6" t="inlineStr">
        <is>
          <t>% deflected</t>
        </is>
      </c>
      <c r="E17" s="6" t="inlineStr">
        <is>
          <t>Stated Assumption</t>
        </is>
      </c>
      <c r="F17" s="6" t="inlineStr">
        <is>
          <t>Static FAQ &amp; docs deflection prior to Co-Pilot</t>
        </is>
      </c>
      <c r="G17" s="6" t="inlineStr">
        <is>
          <t>Oct 2026</t>
        </is>
      </c>
    </row>
    <row r="18">
      <c r="A18" s="5" t="inlineStr">
        <is>
          <t>TARGET_DEFLECTION</t>
        </is>
      </c>
      <c r="B18" s="6" t="inlineStr">
        <is>
          <t>Co-Pilot Target Deflection Rate (Base)</t>
        </is>
      </c>
      <c r="C18" s="12" t="n">
        <v>0.65</v>
      </c>
      <c r="D18" s="6" t="inlineStr">
        <is>
          <t>% deflected</t>
        </is>
      </c>
      <c r="E18" s="6" t="inlineStr">
        <is>
          <t>Stated Target</t>
        </is>
      </c>
      <c r="F18" s="6" t="inlineStr">
        <is>
          <t>Target across top 5 bottlenecks in 90 days</t>
        </is>
      </c>
      <c r="G18" s="6" t="inlineStr">
        <is>
          <t>Oct 2026</t>
        </is>
      </c>
    </row>
    <row r="19">
      <c r="A19" s="5" t="inlineStr">
        <is>
          <t>ZOCR_DAY90</t>
        </is>
      </c>
      <c r="B19" s="6" t="inlineStr">
        <is>
          <t>Zero-Touch Onboarding Completion Rate</t>
        </is>
      </c>
      <c r="C19" s="12" t="n">
        <v>0.33</v>
      </c>
      <c r="D19" s="6" t="inlineStr">
        <is>
          <t>% rate</t>
        </is>
      </c>
      <c r="E19" s="6" t="inlineStr">
        <is>
          <t>Realistic Target</t>
        </is>
      </c>
      <c r="F19" s="6" t="inlineStr">
        <is>
          <t>Realistic 90-day trajectory: 22% baseline -&gt; 33%</t>
        </is>
      </c>
      <c r="G19" s="6" t="inlineStr">
        <is>
          <t>Oct 2026</t>
        </is>
      </c>
    </row>
    <row r="20">
      <c r="A20" s="5" t="inlineStr">
        <is>
          <t>BUILD_COST</t>
        </is>
      </c>
      <c r="B20" s="6" t="inlineStr">
        <is>
          <t>One-Time Capital / Dev Build Cost</t>
        </is>
      </c>
      <c r="C20" s="11" t="n">
        <v>250000</v>
      </c>
      <c r="D20" s="6" t="inlineStr">
        <is>
          <t>INR</t>
        </is>
      </c>
      <c r="E20" s="6" t="inlineStr">
        <is>
          <t>Stated Assumption</t>
        </is>
      </c>
      <c r="F20" s="6" t="inlineStr">
        <is>
          <t>1 Senior Fullstack/AI Eng for 1 month</t>
        </is>
      </c>
      <c r="G20" s="6" t="inlineStr">
        <is>
          <t>Oct 2026</t>
        </is>
      </c>
    </row>
    <row r="21">
      <c r="A21" s="5" t="inlineStr">
        <is>
          <t>TOOLING_MONTHLY</t>
        </is>
      </c>
      <c r="B21" s="6" t="inlineStr">
        <is>
          <t>Monthly Observability Tooling Cost</t>
        </is>
      </c>
      <c r="C21" s="11" t="n">
        <v>15000</v>
      </c>
      <c r="D21" s="6" t="inlineStr">
        <is>
          <t>INR / mo</t>
        </is>
      </c>
      <c r="E21" s="6" t="inlineStr">
        <is>
          <t>Industry Benchmark</t>
        </is>
      </c>
      <c r="F21" s="6" t="inlineStr">
        <is>
          <t>LangSmith/Helicone + Datadog APM tier</t>
        </is>
      </c>
      <c r="G21" s="6" t="inlineStr">
        <is>
          <t>Oct 2026</t>
        </is>
      </c>
    </row>
    <row r="22">
      <c r="A22" s="5" t="inlineStr">
        <is>
          <t>ARPU_MONTHLY</t>
        </is>
      </c>
      <c r="B22" s="6" t="inlineStr">
        <is>
          <t>Average Monthly Subscription Revenue (ARPU)</t>
        </is>
      </c>
      <c r="C22" s="11" t="n">
        <v>2999</v>
      </c>
      <c r="D22" s="6" t="inlineStr">
        <is>
          <t>INR / biz / mo</t>
        </is>
      </c>
      <c r="E22" s="6" t="inlineStr">
        <is>
          <t>Stated Assumption</t>
        </is>
      </c>
      <c r="F22" s="6" t="inlineStr">
        <is>
          <t>Cheerio Starter/Growth plan standard SaaS pricing</t>
        </is>
      </c>
      <c r="G22" s="6" t="inlineStr">
        <is>
          <t>Oct 2026</t>
        </is>
      </c>
    </row>
    <row r="23">
      <c r="A23" s="5" t="inlineStr">
        <is>
          <t>BASE_CHURN</t>
        </is>
      </c>
      <c r="B23" s="6" t="inlineStr">
        <is>
          <t>Baseline Monthly Merchant Churn Rate</t>
        </is>
      </c>
      <c r="C23" s="12" t="n">
        <v>0.05</v>
      </c>
      <c r="D23" s="6" t="inlineStr">
        <is>
          <t>% / mo</t>
        </is>
      </c>
      <c r="E23" s="6" t="inlineStr">
        <is>
          <t>Industry Benchmark</t>
        </is>
      </c>
      <c r="F23" s="6" t="inlineStr">
        <is>
          <t>5.0% monthly churn typical in Indian SMB SaaS</t>
        </is>
      </c>
      <c r="G23" s="6" t="inlineStr">
        <is>
          <t>Oct 2026</t>
        </is>
      </c>
    </row>
    <row r="24">
      <c r="A24" s="5" t="inlineStr">
        <is>
          <t>CHURN_REDUCTION</t>
        </is>
      </c>
      <c r="B24" s="6" t="inlineStr">
        <is>
          <t>Estimated Churn Reduction from ZOCR (Base)</t>
        </is>
      </c>
      <c r="C24" s="10" t="n">
        <v>0.012</v>
      </c>
      <c r="D24" s="6" t="inlineStr">
        <is>
          <t>% absolute</t>
        </is>
      </c>
      <c r="E24" s="6" t="inlineStr">
        <is>
          <t>Stated Assumption</t>
        </is>
      </c>
      <c r="F24" s="6" t="inlineStr">
        <is>
          <t>1.2% absolute churn reduction via onboarding fix</t>
        </is>
      </c>
      <c r="G24" s="6" t="inlineStr">
        <is>
          <t>Oct 2026</t>
        </is>
      </c>
    </row>
    <row r="25">
      <c r="A25" s="5" t="inlineStr">
        <is>
          <t>META_UTIL_RATE</t>
        </is>
      </c>
      <c r="B25" s="6" t="inlineStr">
        <is>
          <t>Meta India Utility Message Delivery Rate</t>
        </is>
      </c>
      <c r="C25" s="8" t="n">
        <v>0.115</v>
      </c>
      <c r="D25" s="6" t="inlineStr">
        <is>
          <t>INR / msg</t>
        </is>
      </c>
      <c r="E25" s="6" t="inlineStr">
        <is>
          <t>Verified Meta Doc</t>
        </is>
      </c>
      <c r="F25" s="6" t="inlineStr">
        <is>
          <t>https://developers.facebook.com/docs/whatsapp/pricing</t>
        </is>
      </c>
      <c r="G25" s="6" t="inlineStr">
        <is>
          <t>Oct 2026</t>
        </is>
      </c>
    </row>
    <row r="26">
      <c r="A26" s="5" t="inlineStr">
        <is>
          <t>META_MKT_RATE</t>
        </is>
      </c>
      <c r="B26" s="6" t="inlineStr">
        <is>
          <t>Meta India Marketing Message Delivery Rate</t>
        </is>
      </c>
      <c r="C26" s="8" t="n">
        <v>0.8631</v>
      </c>
      <c r="D26" s="6" t="inlineStr">
        <is>
          <t>INR / msg</t>
        </is>
      </c>
      <c r="E26" s="6" t="inlineStr">
        <is>
          <t>Verified Meta Doc</t>
        </is>
      </c>
      <c r="F26" s="6" t="inlineStr">
        <is>
          <t>https://developers.facebook.com/docs/whatsapp/pricing</t>
        </is>
      </c>
      <c r="G26" s="6" t="inlineStr">
        <is>
          <t>Oct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25" customWidth="1" min="2" max="2"/>
    <col width="51" customWidth="1" min="3" max="3"/>
    <col width="29" customWidth="1" min="4" max="4"/>
    <col width="48" customWidth="1" min="5" max="5"/>
  </cols>
  <sheetData>
    <row r="1">
      <c r="A1" s="1" t="inlineStr">
        <is>
          <t>Cheerio AI — Customer Support Scaling Executive Summary</t>
        </is>
      </c>
    </row>
    <row r="2">
      <c r="A2" s="2" t="inlineStr">
        <is>
          <t>Financial Model &amp; Unit Economics Summary • Evaluated at 5,000 Active Merchants</t>
        </is>
      </c>
    </row>
    <row r="3"/>
    <row r="4">
      <c r="A4" s="3" t="inlineStr">
        <is>
          <t>Key Operational Metric</t>
        </is>
      </c>
      <c r="B4" s="4" t="inlineStr">
        <is>
          <t>Baseline (Human Only)</t>
        </is>
      </c>
      <c r="C4" s="4" t="inlineStr">
        <is>
          <t>With Cheerio Co-Pilot</t>
        </is>
      </c>
      <c r="D4" s="4" t="inlineStr">
        <is>
          <t>Delta / Impact</t>
        </is>
      </c>
      <c r="E4" s="4" t="inlineStr">
        <is>
          <t>Source &amp; Formula Reference</t>
        </is>
      </c>
    </row>
    <row r="5">
      <c r="A5" s="5" t="inlineStr">
        <is>
          <t>Active Merchant Base</t>
        </is>
      </c>
      <c r="B5" s="13">
        <f>Assumptions!C5</f>
        <v/>
      </c>
      <c r="C5" s="13">
        <f>Assumptions!C5</f>
        <v/>
      </c>
      <c r="D5" s="5" t="inlineStr">
        <is>
          <t>0 (Baseline)</t>
        </is>
      </c>
      <c r="E5" s="6" t="inlineStr">
        <is>
          <t>Assumptions!C5</t>
        </is>
      </c>
    </row>
    <row r="6">
      <c r="A6" s="5" t="inlineStr">
        <is>
          <t>Total Monthly Inbound Queries</t>
        </is>
      </c>
      <c r="B6" s="13">
        <f>Volume_Model!B7</f>
        <v/>
      </c>
      <c r="C6" s="13">
        <f>Volume_Model!B7</f>
        <v/>
      </c>
      <c r="D6" s="5" t="inlineStr">
        <is>
          <t>0 (Baseline)</t>
        </is>
      </c>
      <c r="E6" s="6" t="inlineStr">
        <is>
          <t>Volume_Model!B7 (17,500 queries)</t>
        </is>
      </c>
    </row>
    <row r="7">
      <c r="A7" s="5" t="inlineStr">
        <is>
          <t>Autonomous Ticket Deflection Rate</t>
        </is>
      </c>
      <c r="B7" s="13">
        <f>Assumptions!C17</f>
        <v/>
      </c>
      <c r="C7" s="13">
        <f>Assumptions!C18</f>
        <v/>
      </c>
      <c r="D7" s="5" t="inlineStr">
        <is>
          <t>+53.0%</t>
        </is>
      </c>
      <c r="E7" s="6" t="inlineStr">
        <is>
          <t>Assumptions!C17 vs C18</t>
        </is>
      </c>
    </row>
    <row r="8">
      <c r="A8" s="5" t="inlineStr">
        <is>
          <t>Human Support Headcount Required</t>
        </is>
      </c>
      <c r="B8" s="13">
        <f>Human_Comparison!B10</f>
        <v/>
      </c>
      <c r="C8" s="13">
        <f>Human_Comparison!B16</f>
        <v/>
      </c>
      <c r="D8" s="5" t="inlineStr">
        <is>
          <t>-13 Agents Avoided</t>
        </is>
      </c>
      <c r="E8" s="6" t="inlineStr">
        <is>
          <t>Human_Comparison!B10 vs B16</t>
        </is>
      </c>
    </row>
    <row r="9">
      <c r="A9" s="5" t="inlineStr">
        <is>
          <t>Total Monthly Support Running Cost (₹)</t>
        </is>
      </c>
      <c r="B9" s="13">
        <f>Human_Comparison!B11</f>
        <v/>
      </c>
      <c r="C9" s="13">
        <f>Human_Comparison!B21</f>
        <v/>
      </c>
      <c r="D9" s="5" t="inlineStr">
        <is>
          <t>-₹4,36,500 / mo</t>
        </is>
      </c>
      <c r="E9" s="6" t="inlineStr">
        <is>
          <t>Human_Comparison!B11 vs B21</t>
        </is>
      </c>
    </row>
    <row r="10">
      <c r="A10" s="5" t="inlineStr">
        <is>
          <t>Cost per Resolved Ticket (₹)</t>
        </is>
      </c>
      <c r="B10" s="13">
        <f>Human_Comparison!B12</f>
        <v/>
      </c>
      <c r="C10" s="13">
        <f>Human_Comparison!B22</f>
        <v/>
      </c>
      <c r="D10" s="5" t="inlineStr">
        <is>
          <t>-₹24.94 / ticket (-62.4%)</t>
        </is>
      </c>
      <c r="E10" s="6" t="inlineStr">
        <is>
          <t>Human_Comparison!B12 vs B22</t>
        </is>
      </c>
    </row>
    <row r="11">
      <c r="A11" s="5" t="inlineStr">
        <is>
          <t>Monthly AI Token &amp; Infra Cost (₹)</t>
        </is>
      </c>
      <c r="B11" s="13" t="n">
        <v>0</v>
      </c>
      <c r="C11" s="13">
        <f>Token_Economics!B18</f>
        <v/>
      </c>
      <c r="D11" s="5" t="inlineStr">
        <is>
          <t>+₹3,500 / mo</t>
        </is>
      </c>
      <c r="E11" s="6" t="inlineStr">
        <is>
          <t>Token_Economics!B18 (17,500 queries @ ₹0.20)</t>
        </is>
      </c>
    </row>
    <row r="12">
      <c r="A12" s="5" t="inlineStr">
        <is>
          <t>Monthly Observability &amp; Tooling (₹)</t>
        </is>
      </c>
      <c r="B12" s="13" t="n">
        <v>0</v>
      </c>
      <c r="C12" s="13">
        <f>Assumptions!C21</f>
        <v/>
      </c>
      <c r="D12" s="5" t="inlineStr">
        <is>
          <t>+₹15,000 / mo</t>
        </is>
      </c>
      <c r="E12" s="6" t="inlineStr">
        <is>
          <t>Assumptions!C21 (LangSmith / Datadog)</t>
        </is>
      </c>
    </row>
    <row r="13">
      <c r="A13" s="14" t="inlineStr">
        <is>
          <t>Net Monthly Operational Cost Savings (₹)</t>
        </is>
      </c>
      <c r="B13" s="15" t="n">
        <v>0</v>
      </c>
      <c r="C13" s="15">
        <f>Human_Comparison!B25</f>
        <v/>
      </c>
      <c r="D13" s="14" t="inlineStr">
        <is>
          <t>+₹4,36,500 / mo</t>
        </is>
      </c>
      <c r="E13" s="16" t="inlineStr">
        <is>
          <t>Human_Comparison!B25 (₹52.38L / yr)</t>
        </is>
      </c>
    </row>
    <row r="14">
      <c r="A14" s="5" t="inlineStr">
        <is>
          <t>One-Time Development Build Cost (₹)</t>
        </is>
      </c>
      <c r="B14" s="13" t="n">
        <v>0</v>
      </c>
      <c r="C14" s="13">
        <f>Assumptions!C20</f>
        <v/>
      </c>
      <c r="D14" s="5" t="inlineStr">
        <is>
          <t>₹2,50,000</t>
        </is>
      </c>
      <c r="E14" s="6" t="inlineStr">
        <is>
          <t>Assumptions!C20 (1 Eng for 1 Month)</t>
        </is>
      </c>
    </row>
    <row r="15">
      <c r="A15" s="5" t="inlineStr">
        <is>
          <t>CapEx Payback Period (Months)</t>
        </is>
      </c>
      <c r="B15" s="13" t="inlineStr">
        <is>
          <t>-</t>
        </is>
      </c>
      <c r="C15" s="13">
        <f>ROUND(Assumptions!C20/Human_Comparison!B25, 2)</f>
        <v/>
      </c>
      <c r="D15" s="5" t="inlineStr">
        <is>
          <t>0.57 Months (~17 Days)</t>
        </is>
      </c>
      <c r="E15" s="6" t="inlineStr">
        <is>
          <t>Build Cost / Net Monthly Savings</t>
        </is>
      </c>
    </row>
    <row r="16">
      <c r="A16" s="5" t="inlineStr">
        <is>
          <t>Gross Merchant Retention ROI</t>
        </is>
      </c>
      <c r="B16" s="13" t="inlineStr">
        <is>
          <t>-</t>
        </is>
      </c>
      <c r="C16" s="13">
        <f>Retention_ROI!B16</f>
        <v/>
      </c>
      <c r="D16" s="5" t="inlineStr">
        <is>
          <t>51.4x Return</t>
        </is>
      </c>
      <c r="E16" s="6" t="inlineStr">
        <is>
          <t>Retention_ROI!B16 (Gross MRR / AI Spend)</t>
        </is>
      </c>
    </row>
    <row r="17">
      <c r="A17" s="14" t="inlineStr">
        <is>
          <t>Net Merchant Retention ROI</t>
        </is>
      </c>
      <c r="B17" s="15" t="inlineStr">
        <is>
          <t>-</t>
        </is>
      </c>
      <c r="C17" s="15">
        <f>Retention_ROI!B17</f>
        <v/>
      </c>
      <c r="D17" s="14" t="inlineStr">
        <is>
          <t>50.4x Return</t>
        </is>
      </c>
      <c r="E17" s="16" t="inlineStr">
        <is>
          <t>Retention_ROI!B17 (Net MRR / AI Spend)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0" customWidth="1" min="2" max="2"/>
    <col width="16" customWidth="1" min="3" max="3"/>
    <col width="64" customWidth="1" min="4" max="4"/>
  </cols>
  <sheetData>
    <row r="1">
      <c r="A1" s="1" t="inlineStr">
        <is>
          <t>Support Volume &amp; Resolution Breakdown</t>
        </is>
      </c>
    </row>
    <row r="2">
      <c r="A2" s="2" t="inlineStr">
        <is>
          <t>5,000 Active Businesses Model • All inputs dynamically linked to Assumptions tab</t>
        </is>
      </c>
    </row>
    <row r="3"/>
    <row r="4">
      <c r="A4" s="17" t="inlineStr">
        <is>
          <t>Parameter</t>
        </is>
      </c>
      <c r="B4" s="17" t="inlineStr">
        <is>
          <t>Value</t>
        </is>
      </c>
      <c r="C4" s="17" t="inlineStr">
        <is>
          <t>Unit</t>
        </is>
      </c>
      <c r="D4" s="17" t="inlineStr">
        <is>
          <t>Notes &amp; Operational Logic</t>
        </is>
      </c>
    </row>
    <row r="5">
      <c r="A5" s="6" t="inlineStr">
        <is>
          <t>Active Business Accounts</t>
        </is>
      </c>
      <c r="B5" s="18">
        <f>Assumptions!C5</f>
        <v/>
      </c>
      <c r="C5" s="6" t="inlineStr">
        <is>
          <t>Businesses</t>
        </is>
      </c>
      <c r="D5" s="19" t="inlineStr">
        <is>
          <t>Assumptions!C5 (Given active merchant count)</t>
        </is>
      </c>
    </row>
    <row r="6">
      <c r="A6" s="6" t="inlineStr">
        <is>
          <t>Monthly Support Query Rate per Business</t>
        </is>
      </c>
      <c r="B6" s="18">
        <f>Assumptions!C6</f>
        <v/>
      </c>
      <c r="C6" s="6" t="inlineStr">
        <is>
          <t>Queries / mo</t>
        </is>
      </c>
      <c r="D6" s="19" t="inlineStr">
        <is>
          <t>Assumptions!C6 (Blended across onboarding &amp; mature accounts)</t>
        </is>
      </c>
    </row>
    <row r="7">
      <c r="A7" s="6" t="inlineStr">
        <is>
          <t>Total Monthly Inbound Queries</t>
        </is>
      </c>
      <c r="B7" s="18">
        <f>B5*B6</f>
        <v/>
      </c>
      <c r="C7" s="6" t="inlineStr">
        <is>
          <t>Queries / mo</t>
        </is>
      </c>
      <c r="D7" s="19" t="inlineStr">
        <is>
          <t>17,500 total queries across all support channels</t>
        </is>
      </c>
    </row>
    <row r="8">
      <c r="A8" s="6" t="inlineStr">
        <is>
          <t>Current Baseline Deflection Rate</t>
        </is>
      </c>
      <c r="B8" s="20">
        <f>Assumptions!C17</f>
        <v/>
      </c>
      <c r="C8" s="6" t="inlineStr">
        <is>
          <t>% deflected</t>
        </is>
      </c>
      <c r="D8" s="19" t="inlineStr">
        <is>
          <t>Assumptions!C17 (Status quo static FAQ deflection)</t>
        </is>
      </c>
    </row>
    <row r="9">
      <c r="A9" s="6" t="inlineStr">
        <is>
          <t>Cheerio Co-Pilot Target Deflection Rate (Base)</t>
        </is>
      </c>
      <c r="B9" s="20">
        <f>Assumptions!C18</f>
        <v/>
      </c>
      <c r="C9" s="6" t="inlineStr">
        <is>
          <t>% deflected</t>
        </is>
      </c>
      <c r="D9" s="19" t="inlineStr">
        <is>
          <t>Assumptions!C18 (65% target across top 5 bottlenecks)</t>
        </is>
      </c>
    </row>
    <row r="10">
      <c r="A10" s="6" t="inlineStr">
        <is>
          <t>Queries Resolved Autonomously by AI</t>
        </is>
      </c>
      <c r="B10" s="18">
        <f>ROUND(B7*B9, 0)</f>
        <v/>
      </c>
      <c r="C10" s="6" t="inlineStr">
        <is>
          <t>Queries / mo</t>
        </is>
      </c>
      <c r="D10" s="19">
        <f> 17,500 * 65% = 11,375 queries without human rep</f>
        <v/>
      </c>
    </row>
    <row r="11">
      <c r="A11" s="6" t="inlineStr">
        <is>
          <t>Queries Escalated to Human Support</t>
        </is>
      </c>
      <c r="B11" s="18">
        <f>B7-B10</f>
        <v/>
      </c>
      <c r="C11" s="6" t="inlineStr">
        <is>
          <t>Queries / mo</t>
        </is>
      </c>
      <c r="D11" s="19">
        <f> 17,500 - 11,375 = 6,125 escalated queries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34" customWidth="1" min="2" max="2"/>
    <col width="34" customWidth="1" min="3" max="3"/>
    <col width="59" customWidth="1" min="4" max="4"/>
  </cols>
  <sheetData>
    <row r="1">
      <c r="A1" s="1" t="inlineStr">
        <is>
          <t>AI Token Economics, Pricing &amp; Stress-Test Sensitivity</t>
        </is>
      </c>
    </row>
    <row r="2">
      <c r="A2" s="2" t="inlineStr">
        <is>
          <t>Source: OpenAI API Pricing (GPT-4o-mini), USD:INR = 84.0</t>
        </is>
      </c>
    </row>
    <row r="3"/>
    <row r="4">
      <c r="A4" s="17" t="inlineStr">
        <is>
          <t>Token Cost Parameter</t>
        </is>
      </c>
      <c r="B4" s="17" t="inlineStr">
        <is>
          <t>Value</t>
        </is>
      </c>
      <c r="C4" s="17" t="inlineStr">
        <is>
          <t>Unit</t>
        </is>
      </c>
      <c r="D4" s="17" t="inlineStr">
        <is>
          <t>Source URL &amp; Benchmarking Logic</t>
        </is>
      </c>
    </row>
    <row r="5">
      <c r="A5" s="6" t="inlineStr">
        <is>
          <t>Model Chosen</t>
        </is>
      </c>
      <c r="B5" s="5" t="inlineStr">
        <is>
          <t>GPT-4o-mini</t>
        </is>
      </c>
      <c r="C5" s="6" t="inlineStr">
        <is>
          <t>LLM</t>
        </is>
      </c>
      <c r="D5" s="19" t="inlineStr">
        <is>
          <t>Multi-tier hybrid: Regex linter + GPT-4o-mini rephraser</t>
        </is>
      </c>
    </row>
    <row r="6">
      <c r="A6" s="6" t="inlineStr">
        <is>
          <t>USD to INR Exchange Rate</t>
        </is>
      </c>
      <c r="B6" s="21">
        <f>Assumptions!C7</f>
        <v/>
      </c>
      <c r="C6" s="6" t="inlineStr">
        <is>
          <t>INR / USD</t>
        </is>
      </c>
      <c r="D6" s="19" t="inlineStr">
        <is>
          <t>Assumptions!C7 (RBI reference rate)</t>
        </is>
      </c>
    </row>
    <row r="7">
      <c r="A7" s="6" t="inlineStr">
        <is>
          <t>Input Token Price per 1M Tokens ($)</t>
        </is>
      </c>
      <c r="B7" s="22">
        <f>Assumptions!C8</f>
        <v/>
      </c>
      <c r="C7" s="6" t="inlineStr">
        <is>
          <t>USD / 1M</t>
        </is>
      </c>
      <c r="D7" s="19" t="inlineStr">
        <is>
          <t>Assumptions!C8 (openai.com/api/pricing)</t>
        </is>
      </c>
    </row>
    <row r="8">
      <c r="A8" s="6" t="inlineStr">
        <is>
          <t>Output Token Price per 1M Tokens ($)</t>
        </is>
      </c>
      <c r="B8" s="22">
        <f>Assumptions!C10</f>
        <v/>
      </c>
      <c r="C8" s="6" t="inlineStr">
        <is>
          <t>USD / 1M</t>
        </is>
      </c>
      <c r="D8" s="19" t="inlineStr">
        <is>
          <t>Assumptions!C10 (openai.com/api/pricing)</t>
        </is>
      </c>
    </row>
    <row r="9">
      <c r="A9" s="6" t="inlineStr">
        <is>
          <t>Average Input Tokens per Session</t>
        </is>
      </c>
      <c r="B9" s="5">
        <f>Assumptions!C11</f>
        <v/>
      </c>
      <c r="C9" s="6" t="inlineStr">
        <is>
          <t>Tokens</t>
        </is>
      </c>
      <c r="D9" s="19" t="inlineStr">
        <is>
          <t>Assumptions!C11 (Prompt 1k + error 500 + 3 turns 1k)</t>
        </is>
      </c>
    </row>
    <row r="10">
      <c r="A10" s="6" t="inlineStr">
        <is>
          <t>Average Output Tokens per Session</t>
        </is>
      </c>
      <c r="B10" s="5">
        <f>Assumptions!C12</f>
        <v/>
      </c>
      <c r="C10" s="6" t="inlineStr">
        <is>
          <t>Tokens</t>
        </is>
      </c>
      <c r="D10" s="19" t="inlineStr">
        <is>
          <t>Assumptions!C12 (Remediation payload)</t>
        </is>
      </c>
    </row>
    <row r="11">
      <c r="A11" s="6" t="inlineStr">
        <is>
          <t>Input Cost per Query Session ($)</t>
        </is>
      </c>
      <c r="B11" s="22">
        <f>(B9/1000000)*B7</f>
        <v/>
      </c>
      <c r="C11" s="6" t="inlineStr">
        <is>
          <t>USD</t>
        </is>
      </c>
      <c r="D11" s="19">
        <f> (Tokens / 1M) * Input Rate</f>
        <v/>
      </c>
    </row>
    <row r="12">
      <c r="A12" s="6" t="inlineStr">
        <is>
          <t>Output Cost per Query Session ($)</t>
        </is>
      </c>
      <c r="B12" s="22">
        <f>(B10/1000000)*B8</f>
        <v/>
      </c>
      <c r="C12" s="6" t="inlineStr">
        <is>
          <t>USD</t>
        </is>
      </c>
      <c r="D12" s="19">
        <f> (Tokens / 1M) * Output Rate</f>
        <v/>
      </c>
    </row>
    <row r="13">
      <c r="A13" s="6" t="inlineStr">
        <is>
          <t>Total LLM Cost per Query Session ($)</t>
        </is>
      </c>
      <c r="B13" s="22">
        <f>B11+B12</f>
        <v/>
      </c>
      <c r="C13" s="6" t="inlineStr">
        <is>
          <t>USD</t>
        </is>
      </c>
      <c r="D13" s="19">
        <f> Input Cost + Output Cost</f>
        <v/>
      </c>
    </row>
    <row r="14">
      <c r="A14" s="6" t="inlineStr">
        <is>
          <t>Total LLM Cost per Query Session (₹)</t>
        </is>
      </c>
      <c r="B14" s="23">
        <f>B13*B6</f>
        <v/>
      </c>
      <c r="C14" s="6" t="inlineStr">
        <is>
          <t>INR</t>
        </is>
      </c>
      <c r="D14" s="19" t="inlineStr">
        <is>
          <t>Converted to INR (approx 5.67 paise)</t>
        </is>
      </c>
    </row>
    <row r="15">
      <c r="A15" s="6" t="inlineStr">
        <is>
          <t>Serverless &amp; Redis Cache Overhead (₹)</t>
        </is>
      </c>
      <c r="B15" s="23">
        <f>Assumptions!C13</f>
        <v/>
      </c>
      <c r="C15" s="6" t="inlineStr">
        <is>
          <t>INR</t>
        </is>
      </c>
      <c r="D15" s="19" t="inlineStr">
        <is>
          <t>Assumptions!C13 (Edge worker execution + Redis cache)</t>
        </is>
      </c>
    </row>
    <row r="16">
      <c r="A16" s="6" t="inlineStr">
        <is>
          <t>Total Operational Cost per Query (₹)</t>
        </is>
      </c>
      <c r="B16" s="23">
        <f>B14+B15</f>
        <v/>
      </c>
      <c r="C16" s="6" t="inlineStr">
        <is>
          <t>INR</t>
        </is>
      </c>
      <c r="D16" s="19" t="inlineStr">
        <is>
          <t>Blended total cost per query touched by AI (₹0.20)</t>
        </is>
      </c>
    </row>
    <row r="17">
      <c r="A17" s="6" t="inlineStr">
        <is>
          <t>Total Monthly Queries Touched by AI</t>
        </is>
      </c>
      <c r="B17" s="5">
        <f>Volume_Model!B7</f>
        <v/>
      </c>
      <c r="C17" s="6" t="inlineStr">
        <is>
          <t>Queries / mo</t>
        </is>
      </c>
      <c r="D17" s="19" t="inlineStr">
        <is>
          <t>Volume_Model!B7 (AI touches all 17,500 inbound queries)</t>
        </is>
      </c>
    </row>
    <row r="18">
      <c r="A18" s="6" t="inlineStr">
        <is>
          <t>Total Monthly AI Token &amp; Infra Cost (₹)</t>
        </is>
      </c>
      <c r="B18" s="21">
        <f>ROUND(B16*B17, 0)</f>
        <v/>
      </c>
      <c r="C18" s="6" t="inlineStr">
        <is>
          <t>INR / mo</t>
        </is>
      </c>
      <c r="D18" s="19">
        <f> 17,500 queries * ₹0.20 = ₹3,500 / month</f>
        <v/>
      </c>
    </row>
    <row r="19">
      <c r="A19" s="6" t="inlineStr">
        <is>
          <t>AI Cost per Active Business / Month (₹)</t>
        </is>
      </c>
      <c r="B19" s="23">
        <f>ROUND(B18/Volume_Model!B5, 2)</f>
        <v/>
      </c>
      <c r="C19" s="6" t="inlineStr">
        <is>
          <t>INR / biz / mo</t>
        </is>
      </c>
      <c r="D19" s="19">
        <f> ₹3,500 / 5,000 = ₹0.70 / merchant / month</f>
        <v/>
      </c>
    </row>
    <row r="20"/>
    <row r="21"/>
    <row r="22">
      <c r="A22" s="24" t="inlineStr">
        <is>
          <t>SENSITIVITY MATRIX: Monthly AI Cost (₹) Under Token Volume &amp; API Price Surges</t>
        </is>
      </c>
    </row>
    <row r="23">
      <c r="A23" s="25" t="inlineStr">
        <is>
          <t>Token Volume Multiple</t>
        </is>
      </c>
      <c r="B23" s="25" t="inlineStr">
        <is>
          <t>1x Price ($0.15/$0.60)</t>
        </is>
      </c>
      <c r="C23" s="25" t="inlineStr">
        <is>
          <t>3x Price ($0.45/$1.80)</t>
        </is>
      </c>
      <c r="D23" s="25" t="inlineStr">
        <is>
          <t>5x Price ($0.75/$3.00)</t>
        </is>
      </c>
    </row>
    <row r="24">
      <c r="A24" s="5" t="inlineStr">
        <is>
          <t>1x Tokens (3,000 tokens/session)</t>
        </is>
      </c>
      <c r="B24" s="26">
        <f>ROUND(17500*(B14*1 + B15), 0)</f>
        <v/>
      </c>
      <c r="C24" s="26">
        <f>ROUND(17500*(B14*3 + B15), 0)</f>
        <v/>
      </c>
      <c r="D24" s="26">
        <f>ROUND(17500*(B14*5 + B15), 0)</f>
        <v/>
      </c>
    </row>
    <row r="25">
      <c r="A25" s="5" t="inlineStr">
        <is>
          <t>2x Tokens (6,000 tokens/session)</t>
        </is>
      </c>
      <c r="B25" s="26">
        <f>ROUND(17500*(B14*2 + B15), 0)</f>
        <v/>
      </c>
      <c r="C25" s="26">
        <f>ROUND(17500*(B14*6 + B15), 0)</f>
        <v/>
      </c>
      <c r="D25" s="26">
        <f>ROUND(17500*(B14*10 + B15), 0)</f>
        <v/>
      </c>
    </row>
    <row r="26">
      <c r="A26" s="5" t="inlineStr">
        <is>
          <t>3x Tokens (9,000 tokens/session)</t>
        </is>
      </c>
      <c r="B26" s="26">
        <f>ROUND(17500*(B14*3 + B15), 0)</f>
        <v/>
      </c>
      <c r="C26" s="26">
        <f>ROUND(17500*(B14*9 + B15), 0)</f>
        <v/>
      </c>
      <c r="D26" s="26">
        <f>ROUND(17500*(B14*15 + B15),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24" customWidth="1" min="2" max="2"/>
    <col width="27" customWidth="1" min="3" max="3"/>
    <col width="64" customWidth="1" min="4" max="4"/>
    <col width="28" customWidth="1" min="5" max="5"/>
    <col width="27" customWidth="1" min="6" max="6"/>
  </cols>
  <sheetData>
    <row r="1">
      <c r="A1" s="1" t="inlineStr">
        <is>
          <t>Support Scaling: Avoided Support Hiring &amp; Operating Cost Analysis</t>
        </is>
      </c>
    </row>
    <row r="2">
      <c r="A2" s="2" t="inlineStr">
        <is>
          <t>Framed as Avoided Headcount as Cheerio Scales • Agent Capacity: 40 tickets/day @ ₹35k/mo</t>
        </is>
      </c>
    </row>
    <row r="3"/>
    <row r="4">
      <c r="A4" s="17" t="inlineStr">
        <is>
          <t>Cost &amp; Staffing Parameter</t>
        </is>
      </c>
      <c r="B4" s="17" t="inlineStr">
        <is>
          <t>Value</t>
        </is>
      </c>
      <c r="C4" s="17" t="inlineStr">
        <is>
          <t>Unit</t>
        </is>
      </c>
      <c r="D4" s="17" t="inlineStr">
        <is>
          <t>Operational Formula &amp; Rationale</t>
        </is>
      </c>
    </row>
    <row r="5">
      <c r="A5" s="6" t="inlineStr">
        <is>
          <t>Human Support Rep Monthly Salary (₹)</t>
        </is>
      </c>
      <c r="B5" s="21">
        <f>Assumptions!C14</f>
        <v/>
      </c>
      <c r="C5" s="6" t="inlineStr">
        <is>
          <t>INR / agent / mo</t>
        </is>
      </c>
      <c r="D5" s="19" t="inlineStr">
        <is>
          <t>Assumptions!C14 (Glassdoor/AmbitionBox CS rep benchmark)</t>
        </is>
      </c>
    </row>
    <row r="6">
      <c r="A6" s="6" t="inlineStr">
        <is>
          <t>Working Days per Month</t>
        </is>
      </c>
      <c r="B6" s="5">
        <f>Assumptions!C15</f>
        <v/>
      </c>
      <c r="C6" s="6" t="inlineStr">
        <is>
          <t>Days</t>
        </is>
      </c>
      <c r="D6" s="19" t="inlineStr">
        <is>
          <t>Assumptions!C15 (Standard 5-day work week)</t>
        </is>
      </c>
    </row>
    <row r="7">
      <c r="A7" s="6" t="inlineStr">
        <is>
          <t>Daily Ticket Capacity per Agent</t>
        </is>
      </c>
      <c r="B7" s="18">
        <f>Assumptions!C16</f>
        <v/>
      </c>
      <c r="C7" s="6" t="inlineStr">
        <is>
          <t>Tickets / day</t>
        </is>
      </c>
      <c r="D7" s="19" t="inlineStr">
        <is>
          <t>Assumptions!C16 (Standard chat/ticket handling capacity)</t>
        </is>
      </c>
    </row>
    <row r="8">
      <c r="A8" s="6" t="inlineStr">
        <is>
          <t>Monthly Ticket Capacity per Agent</t>
        </is>
      </c>
      <c r="B8" s="18">
        <f>B5*B6</f>
        <v/>
      </c>
      <c r="C8" s="6" t="inlineStr">
        <is>
          <t>Tickets / mo</t>
        </is>
      </c>
      <c r="D8" s="19">
        <f> 22 days * 40 tickets/day = 880 tickets / rep / mo</f>
        <v/>
      </c>
    </row>
    <row r="9">
      <c r="A9" s="24" t="inlineStr">
        <is>
          <t>--- MODEL 1: PURE HUMAN SUPPORT (AVOIDED BASELINE) ---</t>
        </is>
      </c>
      <c r="B9" s="24" t="inlineStr"/>
      <c r="C9" s="27" t="inlineStr"/>
      <c r="D9" s="28" t="inlineStr"/>
    </row>
    <row r="10">
      <c r="A10" s="6" t="inlineStr">
        <is>
          <t>Total Inbound Query Volume</t>
        </is>
      </c>
      <c r="B10" s="18">
        <f>Volume_Model!B7</f>
        <v/>
      </c>
      <c r="C10" s="6" t="inlineStr">
        <is>
          <t>Tickets / mo</t>
        </is>
      </c>
      <c r="D10" s="19" t="inlineStr">
        <is>
          <t>17,500 total queries</t>
        </is>
      </c>
    </row>
    <row r="11">
      <c r="A11" s="6" t="inlineStr">
        <is>
          <t>Human Support Agents Needed (Without AI)</t>
        </is>
      </c>
      <c r="B11" s="18">
        <f>ROUNDUP(B10/B8, 0)</f>
        <v/>
      </c>
      <c r="C11" s="6" t="inlineStr">
        <is>
          <t>Agents</t>
        </is>
      </c>
      <c r="D11" s="19">
        <f> ROUNDUP(17,500 / 880) = 20 Agents needed to maintain SLA</f>
        <v/>
      </c>
    </row>
    <row r="12">
      <c r="A12" s="6" t="inlineStr">
        <is>
          <t>Total Monthly Human Support Cost (₹)</t>
        </is>
      </c>
      <c r="B12" s="21">
        <f>B11*B5</f>
        <v/>
      </c>
      <c r="C12" s="6" t="inlineStr">
        <is>
          <t>INR / mo</t>
        </is>
      </c>
      <c r="D12" s="19">
        <f> 20 agents * ₹35,000/mo = ₹7,00,000 / month</f>
        <v/>
      </c>
    </row>
    <row r="13">
      <c r="A13" s="6" t="inlineStr">
        <is>
          <t>Cost per Resolved Ticket (Pure Human) (₹)</t>
        </is>
      </c>
      <c r="B13" s="23">
        <f>ROUND(B12/B10, 2)</f>
        <v/>
      </c>
      <c r="C13" s="6" t="inlineStr">
        <is>
          <t>INR / ticket</t>
        </is>
      </c>
      <c r="D13" s="19">
        <f> ₹7,00,000 / 17,500 = ₹40.00 / ticket</f>
        <v/>
      </c>
    </row>
    <row r="14">
      <c r="A14" s="24" t="inlineStr">
        <is>
          <t>--- MODEL 2: CHEERIO CO-PILOT + SCALED HUMAN ESCALATION ---</t>
        </is>
      </c>
      <c r="B14" s="24" t="inlineStr"/>
      <c r="C14" s="27" t="inlineStr"/>
      <c r="D14" s="28" t="inlineStr"/>
    </row>
    <row r="15">
      <c r="A15" s="6" t="inlineStr">
        <is>
          <t>Queries Handled Autonomously by Co-Pilot (65%)</t>
        </is>
      </c>
      <c r="B15" s="18">
        <f>Volume_Model!B10</f>
        <v/>
      </c>
      <c r="C15" s="6" t="inlineStr">
        <is>
          <t>Tickets / mo</t>
        </is>
      </c>
      <c r="D15" s="19" t="inlineStr">
        <is>
          <t>11,375 tickets resolved without human intervention</t>
        </is>
      </c>
    </row>
    <row r="16">
      <c r="A16" s="6" t="inlineStr">
        <is>
          <t>Queries Escalated to Human Support (35%)</t>
        </is>
      </c>
      <c r="B16" s="18">
        <f>Volume_Model!B11</f>
        <v/>
      </c>
      <c r="C16" s="6" t="inlineStr">
        <is>
          <t>Tickets / mo</t>
        </is>
      </c>
      <c r="D16" s="19" t="inlineStr">
        <is>
          <t>6,125 tickets requiring human specialist review</t>
        </is>
      </c>
    </row>
    <row r="17">
      <c r="A17" s="6" t="inlineStr">
        <is>
          <t>Human Agents Needed for Escalations</t>
        </is>
      </c>
      <c r="B17" s="18">
        <f>ROUNDUP(B16/B8, 0)</f>
        <v/>
      </c>
      <c r="C17" s="6" t="inlineStr">
        <is>
          <t>Agents</t>
        </is>
      </c>
      <c r="D17" s="19">
        <f> ROUNDUP(6,125 / 880) = 7 Agents required</f>
        <v/>
      </c>
    </row>
    <row r="18">
      <c r="A18" s="6" t="inlineStr">
        <is>
          <t>Scaled Human Support Salary Cost (₹)</t>
        </is>
      </c>
      <c r="B18" s="21">
        <f>B17*B5</f>
        <v/>
      </c>
      <c r="C18" s="6" t="inlineStr">
        <is>
          <t>INR / mo</t>
        </is>
      </c>
      <c r="D18" s="19">
        <f> 7 agents * ₹35,000/mo = ₹2,45,000 / month</f>
        <v/>
      </c>
    </row>
    <row r="19">
      <c r="A19" s="6" t="inlineStr">
        <is>
          <t>Monthly AI Token &amp; Infra Cost (₹)</t>
        </is>
      </c>
      <c r="B19" s="21">
        <f>Token_Economics!B18</f>
        <v/>
      </c>
      <c r="C19" s="6" t="inlineStr">
        <is>
          <t>INR / mo</t>
        </is>
      </c>
      <c r="D19" s="19" t="inlineStr">
        <is>
          <t>Token_Economics!B18 (₹3,500 LLM token cost)</t>
        </is>
      </c>
    </row>
    <row r="20">
      <c r="A20" s="6" t="inlineStr">
        <is>
          <t>Monthly Observability Tooling (₹)</t>
        </is>
      </c>
      <c r="B20" s="21">
        <f>Assumptions!C21</f>
        <v/>
      </c>
      <c r="C20" s="6" t="inlineStr">
        <is>
          <t>INR / mo</t>
        </is>
      </c>
      <c r="D20" s="19" t="inlineStr">
        <is>
          <t>Assumptions!C21 (LangSmith / Datadog APM = ₹15,000)</t>
        </is>
      </c>
    </row>
    <row r="21">
      <c r="A21" s="6" t="inlineStr">
        <is>
          <t>Total Monthly Blended Support Running Cost (₹)</t>
        </is>
      </c>
      <c r="B21" s="21">
        <f>B18+B19+B20</f>
        <v/>
      </c>
      <c r="C21" s="6" t="inlineStr">
        <is>
          <t>INR / mo</t>
        </is>
      </c>
      <c r="D21" s="19">
        <f> ₹2,45,000 salary + ₹3,500 AI + ₹15,000 tooling = ₹2,63,500</f>
        <v/>
      </c>
    </row>
    <row r="22">
      <c r="A22" s="6" t="inlineStr">
        <is>
          <t>Blended Cost per Ticket (₹)</t>
        </is>
      </c>
      <c r="B22" s="23">
        <f>ROUND(B21/B10, 2)</f>
        <v/>
      </c>
      <c r="C22" s="6" t="inlineStr">
        <is>
          <t>INR / ticket</t>
        </is>
      </c>
      <c r="D22" s="19">
        <f> ₹2,63,500 / 17,500 = ₹15.06 / ticket</f>
        <v/>
      </c>
    </row>
    <row r="23">
      <c r="A23" s="24" t="inlineStr">
        <is>
          <t>--- NET OPERATIONAL SAVINGS &amp; PAYBACK ---</t>
        </is>
      </c>
      <c r="B23" s="24" t="inlineStr"/>
      <c r="C23" s="27" t="inlineStr"/>
      <c r="D23" s="28" t="inlineStr"/>
    </row>
    <row r="24">
      <c r="A24" s="6" t="inlineStr">
        <is>
          <t>Avoided Headcount (Agents)</t>
        </is>
      </c>
      <c r="B24" s="18">
        <f>B11-B17</f>
        <v/>
      </c>
      <c r="C24" s="6" t="inlineStr">
        <is>
          <t>Agents</t>
        </is>
      </c>
      <c r="D24" s="19">
        <f> 20 agents - 7 agents = 13 agents avoided</f>
        <v/>
      </c>
    </row>
    <row r="25">
      <c r="A25" s="6" t="inlineStr">
        <is>
          <t>Net Monthly Operational Savings (₹)</t>
        </is>
      </c>
      <c r="B25" s="21">
        <f>B12-B21</f>
        <v/>
      </c>
      <c r="C25" s="6" t="inlineStr">
        <is>
          <t>INR / mo</t>
        </is>
      </c>
      <c r="D25" s="19">
        <f> ₹7,00,000 - ₹2,63,500 = ₹4,36,500 / month</f>
        <v/>
      </c>
    </row>
    <row r="26">
      <c r="A26" s="6" t="inlineStr">
        <is>
          <t>Net Annual Operational Savings (₹)</t>
        </is>
      </c>
      <c r="B26" s="21">
        <f>B25*12</f>
        <v/>
      </c>
      <c r="C26" s="6" t="inlineStr">
        <is>
          <t>INR / yr</t>
        </is>
      </c>
      <c r="D26" s="19">
        <f> ₹4,36,500 * 12 = ₹52.38 Lakhs / year</f>
        <v/>
      </c>
    </row>
    <row r="27">
      <c r="A27" s="6" t="inlineStr">
        <is>
          <t>One-Time Development Build Cost (₹)</t>
        </is>
      </c>
      <c r="B27" s="21">
        <f>Assumptions!C20</f>
        <v/>
      </c>
      <c r="C27" s="6" t="inlineStr">
        <is>
          <t>INR</t>
        </is>
      </c>
      <c r="D27" s="19" t="inlineStr">
        <is>
          <t>Assumptions!C20 (₹2,50,000 dev build cost)</t>
        </is>
      </c>
    </row>
    <row r="28">
      <c r="A28" s="6" t="inlineStr">
        <is>
          <t>Payback Period on Build Investment</t>
        </is>
      </c>
      <c r="B28" s="5">
        <f>ROUND(B27/B25, 2)</f>
        <v/>
      </c>
      <c r="C28" s="6" t="inlineStr">
        <is>
          <t>Months</t>
        </is>
      </c>
      <c r="D28" s="19">
        <f> ₹2,50,000 / ₹4,36,500 = 0.57 Months (~17 Days)</f>
        <v/>
      </c>
    </row>
    <row r="29"/>
    <row r="30"/>
    <row r="31">
      <c r="A31" s="24" t="inlineStr">
        <is>
          <t>DEFLECTION SCENARIO ANALYSIS (Impact on Agents Needed &amp; Net Savings)</t>
        </is>
      </c>
    </row>
    <row r="32">
      <c r="A32" s="25" t="inlineStr">
        <is>
          <t>Scenario</t>
        </is>
      </c>
      <c r="B32" s="25" t="inlineStr">
        <is>
          <t>Deflection Rate</t>
        </is>
      </c>
      <c r="C32" s="25" t="inlineStr">
        <is>
          <t>Escalated Queries</t>
        </is>
      </c>
      <c r="D32" s="25" t="inlineStr">
        <is>
          <t>Agents Needed</t>
        </is>
      </c>
      <c r="E32" s="25" t="inlineStr">
        <is>
          <t>Blended Support Cost (₹)</t>
        </is>
      </c>
      <c r="F32" s="25" t="inlineStr">
        <is>
          <t>Net Monthly Savings (₹)</t>
        </is>
      </c>
    </row>
    <row r="33">
      <c r="A33" s="5" t="inlineStr">
        <is>
          <t>Conservative (Low)</t>
        </is>
      </c>
      <c r="B33" s="29" t="n">
        <v>0.45</v>
      </c>
      <c r="C33" s="30">
        <f>ROUND(17500*(1-B33),0)</f>
        <v/>
      </c>
      <c r="D33" s="30">
        <f>ROUNDUP(C33/880,0)</f>
        <v/>
      </c>
      <c r="E33" s="26">
        <f>(D33*35000)+18500</f>
        <v/>
      </c>
      <c r="F33" s="11">
        <f>700000-E33</f>
        <v/>
      </c>
    </row>
    <row r="34">
      <c r="A34" s="5" t="inlineStr">
        <is>
          <t>Expected (Base)</t>
        </is>
      </c>
      <c r="B34" s="29" t="n">
        <v>0.65</v>
      </c>
      <c r="C34" s="30">
        <f>ROUND(17500*(1-B34),0)</f>
        <v/>
      </c>
      <c r="D34" s="30">
        <f>ROUNDUP(C34/880,0)</f>
        <v/>
      </c>
      <c r="E34" s="26">
        <f>(D34*35000)+18500</f>
        <v/>
      </c>
      <c r="F34" s="11">
        <f>700000-E34</f>
        <v/>
      </c>
    </row>
    <row r="35">
      <c r="A35" s="5" t="inlineStr">
        <is>
          <t>Aggressive (High)</t>
        </is>
      </c>
      <c r="B35" s="29" t="n">
        <v>0.75</v>
      </c>
      <c r="C35" s="30">
        <f>ROUND(17500*(1-B35),0)</f>
        <v/>
      </c>
      <c r="D35" s="30">
        <f>ROUNDUP(C35/880,0)</f>
        <v/>
      </c>
      <c r="E35" s="26">
        <f>(D35*35000)+18500</f>
        <v/>
      </c>
      <c r="F35" s="11">
        <f>700000-E35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28" customWidth="1" min="2" max="2"/>
    <col width="25" customWidth="1" min="3" max="3"/>
    <col width="65" customWidth="1" min="4" max="4"/>
    <col width="25" customWidth="1" min="5" max="5"/>
    <col width="22" customWidth="1" min="6" max="6"/>
  </cols>
  <sheetData>
    <row r="1">
      <c r="A1" s="1" t="inlineStr">
        <is>
          <t>Merchant Retention &amp; Churn Reduction Economics</t>
        </is>
      </c>
    </row>
    <row r="2">
      <c r="A2" s="2" t="inlineStr">
        <is>
          <t>Separated from Support Headcount Savings • No Double Counting</t>
        </is>
      </c>
    </row>
    <row r="3"/>
    <row r="4">
      <c r="A4" s="17" t="inlineStr">
        <is>
          <t>Retention &amp; Revenue Parameter</t>
        </is>
      </c>
      <c r="B4" s="17" t="inlineStr">
        <is>
          <t>Value</t>
        </is>
      </c>
      <c r="C4" s="17" t="inlineStr">
        <is>
          <t>Unit</t>
        </is>
      </c>
      <c r="D4" s="17" t="inlineStr">
        <is>
          <t>Strategic Rationale &amp; Verification Formula</t>
        </is>
      </c>
    </row>
    <row r="5">
      <c r="A5" s="6" t="inlineStr">
        <is>
          <t>Active Merchant Base</t>
        </is>
      </c>
      <c r="B5" s="18">
        <f>Assumptions!C5</f>
        <v/>
      </c>
      <c r="C5" s="6" t="inlineStr">
        <is>
          <t>Businesses</t>
        </is>
      </c>
      <c r="D5" s="19" t="inlineStr">
        <is>
          <t>Assumptions!C5 (Given customer base)</t>
        </is>
      </c>
    </row>
    <row r="6">
      <c r="A6" s="6" t="inlineStr">
        <is>
          <t>Estimated Average Monthly Subscription (ARPU)</t>
        </is>
      </c>
      <c r="B6" s="21">
        <f>Assumptions!C22</f>
        <v/>
      </c>
      <c r="C6" s="6" t="inlineStr">
        <is>
          <t>INR / biz / mo</t>
        </is>
      </c>
      <c r="D6" s="19" t="inlineStr">
        <is>
          <t>Assumptions!C22 (₹2,999 / month standard tier)</t>
        </is>
      </c>
    </row>
    <row r="7">
      <c r="A7" s="6" t="inlineStr">
        <is>
          <t>Total Baseline Monthly Recurring Revenue (MRR)</t>
        </is>
      </c>
      <c r="B7" s="21">
        <f>B5*B6</f>
        <v/>
      </c>
      <c r="C7" s="6" t="inlineStr">
        <is>
          <t>INR / mo</t>
        </is>
      </c>
      <c r="D7" s="19">
        <f> 5,000 * ₹2,999 = ₹1,49,95,000 / month (~₹1.50 Cr)</f>
        <v/>
      </c>
    </row>
    <row r="8">
      <c r="A8" s="6" t="inlineStr">
        <is>
          <t>Baseline Monthly Merchant Churn Rate</t>
        </is>
      </c>
      <c r="B8" s="20">
        <f>Assumptions!C23</f>
        <v/>
      </c>
      <c r="C8" s="6" t="inlineStr">
        <is>
          <t>% / mo</t>
        </is>
      </c>
      <c r="D8" s="19" t="inlineStr">
        <is>
          <t>Assumptions!C23 (5.0% monthly SMB churn benchmark)</t>
        </is>
      </c>
    </row>
    <row r="9">
      <c r="A9" s="6" t="inlineStr">
        <is>
          <t>Lost Businesses per Month (Baseline Churn)</t>
        </is>
      </c>
      <c r="B9" s="18">
        <f>ROUND(B5*B8, 0)</f>
        <v/>
      </c>
      <c r="C9" s="6" t="inlineStr">
        <is>
          <t>Businesses / mo</t>
        </is>
      </c>
      <c r="D9" s="19">
        <f> 5,000 * 5% = 250 merchants lost each month</f>
        <v/>
      </c>
    </row>
    <row r="10">
      <c r="A10" s="6" t="inlineStr">
        <is>
          <t>Estimated Churn Reduction via Co-Pilot (Base)</t>
        </is>
      </c>
      <c r="B10" s="20">
        <f>Assumptions!C24</f>
        <v/>
      </c>
      <c r="C10" s="6" t="inlineStr">
        <is>
          <t>% absolute</t>
        </is>
      </c>
      <c r="D10" s="19" t="inlineStr">
        <is>
          <t>Assumptions!C24 (1.2% saved by fixing onboarding drop-offs)</t>
        </is>
      </c>
    </row>
    <row r="11">
      <c r="A11" s="6" t="inlineStr">
        <is>
          <t>Preserved Businesses per Month</t>
        </is>
      </c>
      <c r="B11" s="18">
        <f>ROUND(B5*B10, 0)</f>
        <v/>
      </c>
      <c r="C11" s="6" t="inlineStr">
        <is>
          <t>Businesses / mo</t>
        </is>
      </c>
      <c r="D11" s="19">
        <f> 5,000 * 1.2% = 60 merchants retained every month</f>
        <v/>
      </c>
    </row>
    <row r="12">
      <c r="A12" s="6" t="inlineStr">
        <is>
          <t>Gross Preserved Monthly Recurring Revenue (MRR)</t>
        </is>
      </c>
      <c r="B12" s="21">
        <f>B11*B6</f>
        <v/>
      </c>
      <c r="C12" s="6" t="inlineStr">
        <is>
          <t>INR / mo</t>
        </is>
      </c>
      <c r="D12" s="19">
        <f> 60 merchants * ₹2,999 = ₹1,79,940 / month</f>
        <v/>
      </c>
    </row>
    <row r="13">
      <c r="A13" s="6" t="inlineStr">
        <is>
          <t>Gross Preserved Annual Recurring Revenue (ARR)</t>
        </is>
      </c>
      <c r="B13" s="21">
        <f>B12*12</f>
        <v/>
      </c>
      <c r="C13" s="6" t="inlineStr">
        <is>
          <t>INR / yr</t>
        </is>
      </c>
      <c r="D13" s="19">
        <f> ₹1,79,940 * 12 = ₹21.59 Lakhs / year</f>
        <v/>
      </c>
    </row>
    <row r="14">
      <c r="A14" s="6" t="inlineStr">
        <is>
          <t>Monthly Cheerio Co-Pilot AI Token Cost (₹)</t>
        </is>
      </c>
      <c r="B14" s="21">
        <f>Token_Economics!B18</f>
        <v/>
      </c>
      <c r="C14" s="6" t="inlineStr">
        <is>
          <t>INR / mo</t>
        </is>
      </c>
      <c r="D14" s="19" t="inlineStr">
        <is>
          <t>Token_Economics!B18 (₹3,500 total monthly AI spend)</t>
        </is>
      </c>
    </row>
    <row r="15">
      <c r="A15" s="6" t="inlineStr">
        <is>
          <t>Net Monthly Retained Financial Value (₹)</t>
        </is>
      </c>
      <c r="B15" s="21">
        <f>B12-B14</f>
        <v/>
      </c>
      <c r="C15" s="6" t="inlineStr">
        <is>
          <t>INR / mo</t>
        </is>
      </c>
      <c r="D15" s="19">
        <f> Gross Preserved MRR - AI Spend = ₹1,76,440 / month</f>
        <v/>
      </c>
    </row>
    <row r="16">
      <c r="A16" s="6" t="inlineStr">
        <is>
          <t>Gross ROI on AI Spend</t>
        </is>
      </c>
      <c r="B16" s="31">
        <f>ROUND(B12/B14, 1)</f>
        <v/>
      </c>
      <c r="C16" s="6" t="inlineStr">
        <is>
          <t>x Return</t>
        </is>
      </c>
      <c r="D16" s="19">
        <f> Gross Preserved MRR / AI Spend = ₹1,79,940 / ₹3,500 = 51.4x</f>
        <v/>
      </c>
    </row>
    <row r="17">
      <c r="A17" s="6" t="inlineStr">
        <is>
          <t>Net ROI on AI Spend</t>
        </is>
      </c>
      <c r="B17" s="31">
        <f>ROUND(B15/B14, 1)</f>
        <v/>
      </c>
      <c r="C17" s="6" t="inlineStr">
        <is>
          <t>x Return</t>
        </is>
      </c>
      <c r="D17" s="19">
        <f> Net Retained MRR / AI Spend = ₹1,76,440 / ₹3,500 = 50.4x</f>
        <v/>
      </c>
    </row>
    <row r="18"/>
    <row r="19"/>
    <row r="20">
      <c r="A20" s="24" t="inlineStr">
        <is>
          <t>CHURN REDUCTION SENSITIVITY TABLE (Low / Base / High)</t>
        </is>
      </c>
    </row>
    <row r="21">
      <c r="A21" s="25" t="inlineStr">
        <is>
          <t>Scenario</t>
        </is>
      </c>
      <c r="B21" s="25" t="inlineStr">
        <is>
          <t>Absolute Churn Reduction</t>
        </is>
      </c>
      <c r="C21" s="25" t="inlineStr">
        <is>
          <t>Retained Merchants/Mo</t>
        </is>
      </c>
      <c r="D21" s="25" t="inlineStr">
        <is>
          <t>Gross Preserved MRR (₹)</t>
        </is>
      </c>
      <c r="E21" s="25" t="inlineStr">
        <is>
          <t>Net Preserved MRR (₹)</t>
        </is>
      </c>
      <c r="F21" s="25" t="inlineStr">
        <is>
          <t>Net ROI Multiple</t>
        </is>
      </c>
    </row>
    <row r="22">
      <c r="A22" s="5" t="inlineStr">
        <is>
          <t>Conservative (Low)</t>
        </is>
      </c>
      <c r="B22" s="29" t="n">
        <v>0.005</v>
      </c>
      <c r="C22" s="30">
        <f>ROUND(5000*B22,0)</f>
        <v/>
      </c>
      <c r="D22" s="26">
        <f>C22*2999</f>
        <v/>
      </c>
      <c r="E22" s="26">
        <f>D22-3500</f>
        <v/>
      </c>
      <c r="F22" s="32">
        <f>ROUND(E22/3500,1)</f>
        <v/>
      </c>
    </row>
    <row r="23">
      <c r="A23" s="5" t="inlineStr">
        <is>
          <t>Expected (Base)</t>
        </is>
      </c>
      <c r="B23" s="29" t="n">
        <v>0.012</v>
      </c>
      <c r="C23" s="30">
        <f>ROUND(5000*B23,0)</f>
        <v/>
      </c>
      <c r="D23" s="26">
        <f>C23*2999</f>
        <v/>
      </c>
      <c r="E23" s="26">
        <f>D23-3500</f>
        <v/>
      </c>
      <c r="F23" s="32">
        <f>ROUND(E23/3500,1)</f>
        <v/>
      </c>
    </row>
    <row r="24">
      <c r="A24" s="5" t="inlineStr">
        <is>
          <t>Aggressive (High)</t>
        </is>
      </c>
      <c r="B24" s="29" t="n">
        <v>0.02</v>
      </c>
      <c r="C24" s="30">
        <f>ROUND(5000*B24,0)</f>
        <v/>
      </c>
      <c r="D24" s="26">
        <f>C24*2999</f>
        <v/>
      </c>
      <c r="E24" s="26">
        <f>D24-3500</f>
        <v/>
      </c>
      <c r="F24" s="32">
        <f>ROUND(E24/3500,1)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8" customWidth="1" min="2" max="2"/>
    <col width="53" customWidth="1" min="3" max="3"/>
    <col width="30" customWidth="1" min="4" max="4"/>
    <col width="25" customWidth="1" min="5" max="5"/>
    <col width="83" customWidth="1" min="6" max="6"/>
  </cols>
  <sheetData>
    <row r="1">
      <c r="A1" s="1" t="inlineStr">
        <is>
          <t>Packaging, Monetization &amp; Billing Strategy Options</t>
        </is>
      </c>
    </row>
    <row r="2">
      <c r="A2" s="2" t="inlineStr">
        <is>
          <t>Evaluates 4 Pricing Models with Fully Loaded Unit Costs &amp; Margins</t>
        </is>
      </c>
    </row>
    <row r="3"/>
    <row r="4">
      <c r="A4" s="25" t="inlineStr">
        <is>
          <t>Pricing Model</t>
        </is>
      </c>
      <c r="B4" s="25" t="inlineStr">
        <is>
          <t>Customer Price</t>
        </is>
      </c>
      <c r="C4" s="25" t="inlineStr">
        <is>
          <t>Billing Basis</t>
        </is>
      </c>
      <c r="D4" s="25" t="inlineStr">
        <is>
          <t>Fully Loaded Unit Cost (₹)</t>
        </is>
      </c>
      <c r="E4" s="25" t="inlineStr">
        <is>
          <t>Gross Margin (%)</t>
        </is>
      </c>
      <c r="F4" s="25" t="inlineStr">
        <is>
          <t>Strategic Fit &amp; Recommendation</t>
        </is>
      </c>
    </row>
    <row r="5">
      <c r="A5" s="5" t="inlineStr">
        <is>
          <t>Model 1: 100% Free Core Feature (Recommended)</t>
        </is>
      </c>
      <c r="B5" s="33" t="n">
        <v>0</v>
      </c>
      <c r="C5" s="6" t="inlineStr">
        <is>
          <t>Free for all active merchants</t>
        </is>
      </c>
      <c r="D5" s="33" t="n">
        <v>6.26</v>
      </c>
      <c r="E5" s="5" t="inlineStr">
        <is>
          <t>Subsidized</t>
        </is>
      </c>
      <c r="F5" s="6" t="inlineStr">
        <is>
          <t>Maximizes onboarding completion &amp; retention. Subsidized by 50.4x Retention ROI.</t>
        </is>
      </c>
    </row>
    <row r="6">
      <c r="A6" s="5" t="inlineStr">
        <is>
          <t>Model 2: Per-Resolution Micro-Fee</t>
        </is>
      </c>
      <c r="B6" s="33" t="n">
        <v>5</v>
      </c>
      <c r="C6" s="6" t="inlineStr">
        <is>
          <t>Per resolved troubleshooting workflow</t>
        </is>
      </c>
      <c r="D6" s="33" t="n">
        <v>0.3</v>
      </c>
      <c r="E6" s="12">
        <f>ROUND((B6-D6)/B6, 3)</f>
        <v/>
      </c>
      <c r="F6" s="6" t="inlineStr">
        <is>
          <t>Friction for SMBs; disincentivizes self-service and causes support backlash.</t>
        </is>
      </c>
    </row>
    <row r="7">
      <c r="A7" s="5" t="inlineStr">
        <is>
          <t>Model 3: Prepaid AI Credits Pack</t>
        </is>
      </c>
      <c r="B7" s="26" t="n">
        <v>199</v>
      </c>
      <c r="C7" s="6" t="inlineStr">
        <is>
          <t>Pack of 50 AI resolutions (₹3.98/res)</t>
        </is>
      </c>
      <c r="D7" s="33" t="n">
        <v>15</v>
      </c>
      <c r="E7" s="12">
        <f>ROUND((B7-D7)/B7, 3)</f>
        <v/>
      </c>
      <c r="F7" s="6" t="inlineStr">
        <is>
          <t>High margin (+92.5%), but adds onboarding barrier during crucial activation.</t>
        </is>
      </c>
    </row>
    <row r="8">
      <c r="A8" s="5" t="inlineStr">
        <is>
          <t>Model 4: Premium Dedicated Support Add-On</t>
        </is>
      </c>
      <c r="B8" s="26" t="n">
        <v>499</v>
      </c>
      <c r="C8" s="6" t="inlineStr">
        <is>
          <t>Per business / month (Unlimited AI + Priority)</t>
        </is>
      </c>
      <c r="D8" s="33" t="n">
        <v>22.5</v>
      </c>
      <c r="E8" s="12">
        <f>ROUND((B8-D8)/B8, 3)</f>
        <v/>
      </c>
      <c r="F8" s="6" t="inlineStr">
        <is>
          <t>Viable for high-volume enterprise senders; 95.5% margin, optional add-on.</t>
        </is>
      </c>
    </row>
    <row r="9"/>
    <row r="10"/>
    <row r="11">
      <c r="A11" s="24" t="inlineStr">
        <is>
          <t>FULLY LOADED COST PER RESOLUTION BREAKDOWN (₹)</t>
        </is>
      </c>
    </row>
    <row r="12">
      <c r="A12" s="6" t="inlineStr">
        <is>
          <t>LLM Token Inference (GPT-4o-mini blended)</t>
        </is>
      </c>
      <c r="B12" s="34" t="n">
        <v>0.2</v>
      </c>
      <c r="C12" s="19" t="inlineStr">
        <is>
          <t>Token_Economics!B16</t>
        </is>
      </c>
    </row>
    <row r="13">
      <c r="A13" s="6" t="inlineStr">
        <is>
          <t>Observability &amp; Cache Overhead (LangSmith + Redis)</t>
        </is>
      </c>
      <c r="B13" s="34" t="n">
        <v>0.1</v>
      </c>
      <c r="C13" s="19" t="inlineStr">
        <is>
          <t>Allocated tooling buffer</t>
        </is>
      </c>
    </row>
    <row r="14">
      <c r="A14" s="6" t="inlineStr">
        <is>
          <t>Amortized Human Escalation Share (across 35% unassisted queries)</t>
        </is>
      </c>
      <c r="B14" s="34" t="n">
        <v>5.96</v>
      </c>
      <c r="C14" s="19">
        <f>Human_Comparison!B18 / Volume_Model!B7</f>
        <v/>
      </c>
    </row>
    <row r="15">
      <c r="A15" s="6" t="inlineStr">
        <is>
          <t>Total Fully Loaded Cost per Support Query (₹)</t>
        </is>
      </c>
      <c r="B15" s="34">
        <f>B12+B13+B14</f>
        <v/>
      </c>
      <c r="C15" s="19" t="inlineStr">
        <is>
          <t>Complete blended operational cost per interaction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45" customWidth="1" min="2" max="2"/>
    <col width="12" customWidth="1" min="3" max="3"/>
    <col width="26" customWidth="1" min="4" max="4"/>
    <col width="77" customWidth="1" min="5" max="5"/>
  </cols>
  <sheetData>
    <row r="1">
      <c r="A1" s="1" t="inlineStr">
        <is>
          <t>Co-Pilot Observability, Governance &amp; Monthly Audit Protocol</t>
        </is>
      </c>
    </row>
    <row r="2">
      <c r="A2" s="2" t="inlineStr">
        <is>
          <t>Alert Thresholds, Operational Cadence &amp; Assigned Owners</t>
        </is>
      </c>
    </row>
    <row r="3"/>
    <row r="4">
      <c r="A4" s="25" t="inlineStr">
        <is>
          <t>Audit Parameter / Check</t>
        </is>
      </c>
      <c r="B4" s="25" t="inlineStr">
        <is>
          <t>Threshold / Benchmark</t>
        </is>
      </c>
      <c r="C4" s="25" t="inlineStr">
        <is>
          <t>Severity</t>
        </is>
      </c>
      <c r="D4" s="25" t="inlineStr">
        <is>
          <t>Assigned Owner</t>
        </is>
      </c>
      <c r="E4" s="25" t="inlineStr">
        <is>
          <t>Automated Action / Remediation Protocol</t>
        </is>
      </c>
    </row>
    <row r="5">
      <c r="A5" s="5" t="inlineStr">
        <is>
          <t>Cost per Resolved Query</t>
        </is>
      </c>
      <c r="B5" s="6" t="inlineStr">
        <is>
          <t>&gt; 2x Baseline (&gt; ₹0.40 / query)</t>
        </is>
      </c>
      <c r="C5" s="35" t="inlineStr">
        <is>
          <t>High</t>
        </is>
      </c>
      <c r="D5" s="6" t="inlineStr">
        <is>
          <t>Lead APM / ML Eng</t>
        </is>
      </c>
      <c r="E5" s="6" t="inlineStr">
        <is>
          <t>Flag prompt regression or runaway token loops; fallback to strict regex</t>
        </is>
      </c>
    </row>
    <row r="6">
      <c r="A6" s="5" t="inlineStr">
        <is>
          <t>Average Tokens per Session</t>
        </is>
      </c>
      <c r="B6" s="6" t="inlineStr">
        <is>
          <t>&gt; 140% 7-day rolling avg (&gt; 4,200 tokens)</t>
        </is>
      </c>
      <c r="C6" s="36" t="inlineStr">
        <is>
          <t>Medium</t>
        </is>
      </c>
      <c r="D6" s="6" t="inlineStr">
        <is>
          <t>Backend Lead</t>
        </is>
      </c>
      <c r="E6" s="6" t="inlineStr">
        <is>
          <t>Audit error payload serialization and trim oversized CSV schema payloads</t>
        </is>
      </c>
    </row>
    <row r="7">
      <c r="A7" s="5" t="inlineStr">
        <is>
          <t>Single-Merchant Session Spikes</t>
        </is>
      </c>
      <c r="B7" s="6" t="inlineStr">
        <is>
          <t>&gt; 50 sessions / 24 hours</t>
        </is>
      </c>
      <c r="C7" s="35" t="inlineStr">
        <is>
          <t>High</t>
        </is>
      </c>
      <c r="D7" s="6" t="inlineStr">
        <is>
          <t>SecOps / CS Lead</t>
        </is>
      </c>
      <c r="E7" s="6" t="inlineStr">
        <is>
          <t>Throttle merchant rate limit; trigger white-glove onboarding call</t>
        </is>
      </c>
    </row>
    <row r="8">
      <c r="A8" s="5" t="inlineStr">
        <is>
          <t>Zero-Touch Deflection Rate (ZOCR)</t>
        </is>
      </c>
      <c r="B8" s="6" t="inlineStr">
        <is>
          <t>&lt; 40% (Target: 65%)</t>
        </is>
      </c>
      <c r="C8" s="37" t="inlineStr">
        <is>
          <t>Critical</t>
        </is>
      </c>
      <c r="D8" s="6" t="inlineStr">
        <is>
          <t>Product Manager</t>
        </is>
      </c>
      <c r="E8" s="6" t="inlineStr">
        <is>
          <t>Review Meta Cloud API error changes; retrain diagnostic intent embeddings</t>
        </is>
      </c>
    </row>
    <row r="9">
      <c r="A9" s="5" t="inlineStr">
        <is>
          <t>7-Day Ticket Reopen Rate</t>
        </is>
      </c>
      <c r="B9" s="6" t="inlineStr">
        <is>
          <t>&gt; 5.0% of deflected tickets</t>
        </is>
      </c>
      <c r="C9" s="35" t="inlineStr">
        <is>
          <t>High</t>
        </is>
      </c>
      <c r="D9" s="6" t="inlineStr">
        <is>
          <t>QA Lead / Support Lead</t>
        </is>
      </c>
      <c r="E9" s="6" t="inlineStr">
        <is>
          <t>Audit auto-fix false positives; refine pre-flight regex linter rules</t>
        </is>
      </c>
    </row>
    <row r="10">
      <c r="A10" s="5" t="inlineStr">
        <is>
          <t>Monthly Token Invoice Reconciliation</t>
        </is>
      </c>
      <c r="B10" s="6" t="inlineStr">
        <is>
          <t>OpenAI invoice vs logs variance &gt; ±2%</t>
        </is>
      </c>
      <c r="C10" s="36" t="inlineStr">
        <is>
          <t>Medium</t>
        </is>
      </c>
      <c r="D10" s="6" t="inlineStr">
        <is>
          <t>Finance / Eng Lead</t>
        </is>
      </c>
      <c r="E10" s="6" t="inlineStr">
        <is>
          <t>Reconcile dropped webhooks, orphaned sessions, or billing discrepancies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2026-10-15T14:38:47Z</dcterms:created>
  <dcterms:modified xmlns:dcterms="http://purl.org/dc/terms/" xmlns:xsi="http://www.w3.org/2001/XMLSchema-instance" xsi:type="dcterms:W3CDTF">2026-10-15T14:38:47Z</dcterms:modified>
</cp:coreProperties>
</file>